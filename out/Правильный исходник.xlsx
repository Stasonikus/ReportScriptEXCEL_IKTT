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Python project\ReportScriptEXCEL_IKTT\out\"/>
    </mc:Choice>
  </mc:AlternateContent>
  <xr:revisionPtr revIDLastSave="0" documentId="13_ncr:1_{F080F177-D400-46B8-B48A-304DBF0C1A92}" xr6:coauthVersionLast="47" xr6:coauthVersionMax="47" xr10:uidLastSave="{00000000-0000-0000-0000-000000000000}"/>
  <bookViews>
    <workbookView xWindow="390" yWindow="390" windowWidth="21600" windowHeight="11295" activeTab="2" xr2:uid="{00000000-000D-0000-FFFF-FFFF00000000}"/>
  </bookViews>
  <sheets>
    <sheet name="Таблица1" sheetId="1" r:id="rId1"/>
    <sheet name="Таблица2" sheetId="2" r:id="rId2"/>
    <sheet name="Таблица3" sheetId="3" r:id="rId3"/>
    <sheet name="Таблица4" sheetId="4" r:id="rId4"/>
    <sheet name="Таблица5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B13" i="3"/>
  <c r="B12" i="3"/>
  <c r="B8" i="3"/>
  <c r="B6" i="3"/>
  <c r="B5" i="3"/>
  <c r="B4" i="3"/>
  <c r="B32" i="3"/>
  <c r="B24" i="3"/>
</calcChain>
</file>

<file path=xl/sharedStrings.xml><?xml version="1.0" encoding="utf-8"?>
<sst xmlns="http://schemas.openxmlformats.org/spreadsheetml/2006/main" count="119" uniqueCount="86">
  <si>
    <t>ТП/ЖД</t>
  </si>
  <si>
    <t>РФ</t>
  </si>
  <si>
    <t>РБ</t>
  </si>
  <si>
    <t>КР</t>
  </si>
  <si>
    <t>РА</t>
  </si>
  <si>
    <t>Итого</t>
  </si>
  <si>
    <t>Алаколь</t>
  </si>
  <si>
    <t>Казыгурт</t>
  </si>
  <si>
    <t>Нур жолы</t>
  </si>
  <si>
    <t>Бахты</t>
  </si>
  <si>
    <t>Калжат</t>
  </si>
  <si>
    <t>Тажен</t>
  </si>
  <si>
    <t>Атамекен</t>
  </si>
  <si>
    <t>Б. конысбаева</t>
  </si>
  <si>
    <t>Майкапчагай</t>
  </si>
  <si>
    <t>Темир-баба</t>
  </si>
  <si>
    <t>Капланбек</t>
  </si>
  <si>
    <t>Морпорт актау</t>
  </si>
  <si>
    <t>Курык порт</t>
  </si>
  <si>
    <t>Курык жд</t>
  </si>
  <si>
    <t>Болашак</t>
  </si>
  <si>
    <t>Оазис</t>
  </si>
  <si>
    <t>Мактаарал</t>
  </si>
  <si>
    <t>Сарыагаш</t>
  </si>
  <si>
    <t>Алтынколь</t>
  </si>
  <si>
    <t>Темиржол</t>
  </si>
  <si>
    <t>Статистические данные экспорта и взаимной торговли из РК</t>
  </si>
  <si>
    <t>Экспорт</t>
  </si>
  <si>
    <t>№</t>
  </si>
  <si>
    <t>Страна</t>
  </si>
  <si>
    <t>Количество перевозок</t>
  </si>
  <si>
    <t>Российская Федерация</t>
  </si>
  <si>
    <t>Республика Беларусь</t>
  </si>
  <si>
    <t>Кыргызская Республика</t>
  </si>
  <si>
    <t>Республика Армения</t>
  </si>
  <si>
    <t>Взаимная торговля</t>
  </si>
  <si>
    <t>Статистические данные завершенных перевозок</t>
  </si>
  <si>
    <t>Завершённые автомобильные перевозки из Республики Казахстан</t>
  </si>
  <si>
    <t>Направление</t>
  </si>
  <si>
    <t>Количество</t>
  </si>
  <si>
    <t>В Российскую Федерацию</t>
  </si>
  <si>
    <t>В Республику Беларусь</t>
  </si>
  <si>
    <t>В Кыргызскую Республику</t>
  </si>
  <si>
    <t>В Республику Армения</t>
  </si>
  <si>
    <t>Завершенные автомобильные перевозки в Республику Казахстан</t>
  </si>
  <si>
    <t>Из Российской Федерации</t>
  </si>
  <si>
    <t>Из Республики Беларусь</t>
  </si>
  <si>
    <t>Из Кыргызской Республики</t>
  </si>
  <si>
    <t>Из Республики Армения</t>
  </si>
  <si>
    <t>Завершённые железнодорожные перевозки из Республики Казахстан</t>
  </si>
  <si>
    <t>Завершенные железнодорожные перевозки в Республику Казахстан</t>
  </si>
  <si>
    <t>Пункты
пропуска/региональ
ные склады</t>
  </si>
  <si>
    <t>НП на 25.05.26</t>
  </si>
  <si>
    <t>тп «Тажен»</t>
  </si>
  <si>
    <t>тп «Темир-Баба»</t>
  </si>
  <si>
    <t>тп «Болашак»</t>
  </si>
  <si>
    <t>тп «Курык»</t>
  </si>
  <si>
    <t>тп «Морпорт»</t>
  </si>
  <si>
    <t>тп «Оазис»</t>
  </si>
  <si>
    <t>тп «Бахты»</t>
  </si>
  <si>
    <t>тп «Майкапчагай»</t>
  </si>
  <si>
    <t>тп «Б. Конысбаева»</t>
  </si>
  <si>
    <t>тп «Казыгурт»</t>
  </si>
  <si>
    <t>тп «ст. Сарыагаш»</t>
  </si>
  <si>
    <t>тп «Атамекен»</t>
  </si>
  <si>
    <t>тп «Калжат»</t>
  </si>
  <si>
    <t>тп «Алаколь»</t>
  </si>
  <si>
    <t>тп «Темиржол»</t>
  </si>
  <si>
    <t>тп «Алтынколь-жол»</t>
  </si>
  <si>
    <t>тп «Нур Жолы»</t>
  </si>
  <si>
    <t>г. Астана склад</t>
  </si>
  <si>
    <t>г. Караганда склад</t>
  </si>
  <si>
    <t>г. Шымкент, склад</t>
  </si>
  <si>
    <t>г. Петропавловск, склад</t>
  </si>
  <si>
    <t>г. Кокшетау, склад</t>
  </si>
  <si>
    <t>г. Уральск, склад</t>
  </si>
  <si>
    <t>г. Актобе, склад</t>
  </si>
  <si>
    <t>г. Павлодар склад</t>
  </si>
  <si>
    <t>г. Оскемен, склад</t>
  </si>
  <si>
    <t>г. Семей, склад</t>
  </si>
  <si>
    <t>г. Актау</t>
  </si>
  <si>
    <t>Атырауская область</t>
  </si>
  <si>
    <t>ЗКО</t>
  </si>
  <si>
    <t>Костанайская область</t>
  </si>
  <si>
    <t>Статистика по перевозкам, направленным в сторону Республики Казахстан</t>
  </si>
  <si>
    <t>Страна начала перевозки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</si>
</sst>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pane ySplit="1" topLeftCell="A2" activePane="bottomLeft" state="frozen"/>
      <selection pane="bottomLeft" activeCell="D24" sqref="D24"/>
    </sheetView>
  </sheetViews>
  <sheetFormatPr defaultRowHeight="15" x14ac:dyDescent="0.25"/>
  <cols>
    <col min="1" max="1" width="15" customWidth="1"/>
    <col min="2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392</v>
      </c>
      <c r="C2">
        <v>594</v>
      </c>
      <c r="D2">
        <v>0</v>
      </c>
      <c r="E2">
        <v>0</v>
      </c>
      <c r="F2">
        <v>986</v>
      </c>
    </row>
    <row r="3" spans="1:6" x14ac:dyDescent="0.25">
      <c r="A3" t="s">
        <v>7</v>
      </c>
      <c r="B3">
        <v>977</v>
      </c>
      <c r="C3">
        <v>49</v>
      </c>
      <c r="D3">
        <v>16</v>
      </c>
      <c r="E3">
        <v>0</v>
      </c>
      <c r="F3">
        <v>1042</v>
      </c>
    </row>
    <row r="4" spans="1:6" x14ac:dyDescent="0.25">
      <c r="A4" t="s">
        <v>8</v>
      </c>
      <c r="B4">
        <v>1607</v>
      </c>
      <c r="C4">
        <v>182</v>
      </c>
      <c r="D4">
        <v>0</v>
      </c>
      <c r="E4">
        <v>0</v>
      </c>
      <c r="F4">
        <v>1789</v>
      </c>
    </row>
    <row r="5" spans="1:6" x14ac:dyDescent="0.25">
      <c r="A5" t="s">
        <v>9</v>
      </c>
      <c r="B5">
        <v>38</v>
      </c>
      <c r="C5">
        <v>467</v>
      </c>
      <c r="D5">
        <v>0</v>
      </c>
      <c r="E5">
        <v>0</v>
      </c>
      <c r="F5">
        <v>505</v>
      </c>
    </row>
    <row r="6" spans="1:6" x14ac:dyDescent="0.25">
      <c r="A6" t="s">
        <v>10</v>
      </c>
      <c r="B6">
        <v>1441</v>
      </c>
      <c r="C6">
        <v>260</v>
      </c>
      <c r="D6">
        <v>0</v>
      </c>
      <c r="E6">
        <v>0</v>
      </c>
      <c r="F6">
        <v>1701</v>
      </c>
    </row>
    <row r="7" spans="1:6" x14ac:dyDescent="0.25">
      <c r="A7" t="s">
        <v>11</v>
      </c>
      <c r="B7">
        <v>432</v>
      </c>
      <c r="C7">
        <v>19</v>
      </c>
      <c r="D7">
        <v>0</v>
      </c>
      <c r="E7">
        <v>0</v>
      </c>
      <c r="F7">
        <v>451</v>
      </c>
    </row>
    <row r="8" spans="1:6" x14ac:dyDescent="0.25">
      <c r="A8" t="s">
        <v>12</v>
      </c>
      <c r="B8">
        <v>107</v>
      </c>
      <c r="C8">
        <v>3</v>
      </c>
      <c r="D8">
        <v>6</v>
      </c>
      <c r="E8">
        <v>0</v>
      </c>
      <c r="F8">
        <v>116</v>
      </c>
    </row>
    <row r="9" spans="1:6" x14ac:dyDescent="0.25">
      <c r="A9" t="s">
        <v>13</v>
      </c>
      <c r="B9">
        <v>202</v>
      </c>
      <c r="C9">
        <v>39</v>
      </c>
      <c r="D9">
        <v>0</v>
      </c>
      <c r="E9">
        <v>0</v>
      </c>
      <c r="F9">
        <v>241</v>
      </c>
    </row>
    <row r="10" spans="1:6" x14ac:dyDescent="0.25">
      <c r="A10" t="s">
        <v>14</v>
      </c>
      <c r="B10">
        <v>7</v>
      </c>
      <c r="C10">
        <v>29</v>
      </c>
      <c r="D10">
        <v>0</v>
      </c>
      <c r="E10">
        <v>0</v>
      </c>
      <c r="F10">
        <v>36</v>
      </c>
    </row>
    <row r="11" spans="1:6" x14ac:dyDescent="0.25">
      <c r="A11" t="s">
        <v>15</v>
      </c>
      <c r="B11">
        <v>2</v>
      </c>
      <c r="C11">
        <v>0</v>
      </c>
      <c r="D11">
        <v>0</v>
      </c>
      <c r="E11">
        <v>0</v>
      </c>
      <c r="F11">
        <v>2</v>
      </c>
    </row>
    <row r="12" spans="1:6" x14ac:dyDescent="0.25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19</v>
      </c>
      <c r="B15">
        <v>0</v>
      </c>
      <c r="C15">
        <v>0</v>
      </c>
      <c r="D15">
        <v>4</v>
      </c>
      <c r="E15">
        <v>0</v>
      </c>
      <c r="F15">
        <v>4</v>
      </c>
    </row>
    <row r="16" spans="1:6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25</v>
      </c>
      <c r="B21">
        <v>14</v>
      </c>
      <c r="C21">
        <v>2</v>
      </c>
      <c r="D21">
        <v>0</v>
      </c>
      <c r="E21">
        <v>0</v>
      </c>
      <c r="F21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3" topLeftCell="A4" activePane="bottomLeft" state="frozen"/>
      <selection pane="bottomLeft" sqref="A1:C1"/>
    </sheetView>
  </sheetViews>
  <sheetFormatPr defaultRowHeight="15" x14ac:dyDescent="0.25"/>
  <cols>
    <col min="1" max="1" width="55" customWidth="1"/>
    <col min="2" max="2" width="23" customWidth="1"/>
    <col min="3" max="3" width="22" customWidth="1"/>
  </cols>
  <sheetData>
    <row r="1" spans="1:3" x14ac:dyDescent="0.25">
      <c r="A1" s="5" t="s">
        <v>26</v>
      </c>
      <c r="B1" s="6"/>
      <c r="C1" s="6"/>
    </row>
    <row r="2" spans="1:3" x14ac:dyDescent="0.25">
      <c r="A2" s="5" t="s">
        <v>27</v>
      </c>
      <c r="B2" s="6"/>
      <c r="C2" s="6"/>
    </row>
    <row r="3" spans="1:3" x14ac:dyDescent="0.25">
      <c r="A3" s="1" t="s">
        <v>28</v>
      </c>
      <c r="B3" s="1" t="s">
        <v>29</v>
      </c>
      <c r="C3" s="1" t="s">
        <v>30</v>
      </c>
    </row>
    <row r="4" spans="1:3" x14ac:dyDescent="0.25">
      <c r="A4">
        <v>1</v>
      </c>
      <c r="B4" t="s">
        <v>31</v>
      </c>
      <c r="C4">
        <v>174</v>
      </c>
    </row>
    <row r="5" spans="1:3" x14ac:dyDescent="0.25">
      <c r="A5">
        <v>2</v>
      </c>
      <c r="B5" t="s">
        <v>32</v>
      </c>
      <c r="C5">
        <v>6</v>
      </c>
    </row>
    <row r="6" spans="1:3" x14ac:dyDescent="0.25">
      <c r="A6">
        <v>3</v>
      </c>
      <c r="B6" t="s">
        <v>33</v>
      </c>
      <c r="C6">
        <v>4</v>
      </c>
    </row>
    <row r="7" spans="1:3" x14ac:dyDescent="0.25">
      <c r="A7">
        <v>4</v>
      </c>
      <c r="B7" t="s">
        <v>34</v>
      </c>
      <c r="C7">
        <v>0</v>
      </c>
    </row>
    <row r="8" spans="1:3" x14ac:dyDescent="0.25">
      <c r="A8">
        <v>5</v>
      </c>
      <c r="B8" t="s">
        <v>5</v>
      </c>
      <c r="C8">
        <v>184</v>
      </c>
    </row>
    <row r="10" spans="1:3" x14ac:dyDescent="0.25">
      <c r="A10" s="5" t="s">
        <v>35</v>
      </c>
      <c r="B10" s="6"/>
      <c r="C10" s="6"/>
    </row>
    <row r="11" spans="1:3" x14ac:dyDescent="0.25">
      <c r="A11" s="1" t="s">
        <v>28</v>
      </c>
      <c r="B11" s="1" t="s">
        <v>29</v>
      </c>
      <c r="C11" s="1" t="s">
        <v>30</v>
      </c>
    </row>
    <row r="12" spans="1:3" x14ac:dyDescent="0.25">
      <c r="A12">
        <v>1</v>
      </c>
      <c r="B12" t="s">
        <v>31</v>
      </c>
      <c r="C12">
        <v>408</v>
      </c>
    </row>
    <row r="13" spans="1:3" x14ac:dyDescent="0.25">
      <c r="A13">
        <v>2</v>
      </c>
      <c r="B13" t="s">
        <v>32</v>
      </c>
      <c r="C13">
        <v>21</v>
      </c>
    </row>
    <row r="14" spans="1:3" x14ac:dyDescent="0.25">
      <c r="A14">
        <v>3</v>
      </c>
      <c r="B14" t="s">
        <v>33</v>
      </c>
      <c r="C14">
        <v>186</v>
      </c>
    </row>
    <row r="15" spans="1:3" x14ac:dyDescent="0.25">
      <c r="A15">
        <v>4</v>
      </c>
      <c r="B15" t="s">
        <v>34</v>
      </c>
      <c r="C15">
        <v>0</v>
      </c>
    </row>
    <row r="16" spans="1:3" x14ac:dyDescent="0.25">
      <c r="A16">
        <v>5</v>
      </c>
      <c r="B16" t="s">
        <v>5</v>
      </c>
      <c r="C16">
        <v>615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tabSelected="1" workbookViewId="0">
      <pane ySplit="3" topLeftCell="A4" activePane="bottomLeft" state="frozen"/>
      <selection pane="bottomLeft" activeCell="D16" sqref="D16"/>
    </sheetView>
  </sheetViews>
  <sheetFormatPr defaultRowHeight="15" x14ac:dyDescent="0.25"/>
  <cols>
    <col min="1" max="1" width="55" customWidth="1"/>
    <col min="2" max="2" width="12" customWidth="1"/>
  </cols>
  <sheetData>
    <row r="1" spans="1:2" x14ac:dyDescent="0.25">
      <c r="A1" s="5" t="s">
        <v>36</v>
      </c>
      <c r="B1" s="6"/>
    </row>
    <row r="2" spans="1:2" x14ac:dyDescent="0.25">
      <c r="A2" s="5" t="s">
        <v>37</v>
      </c>
      <c r="B2" s="6"/>
    </row>
    <row r="3" spans="1:2" x14ac:dyDescent="0.25">
      <c r="A3" s="1" t="s">
        <v>38</v>
      </c>
      <c r="B3" s="1" t="s">
        <v>39</v>
      </c>
    </row>
    <row r="4" spans="1:2" x14ac:dyDescent="0.25">
      <c r="A4" t="s">
        <v>40</v>
      </c>
      <c r="B4">
        <f>5292-B20</f>
        <v>5244</v>
      </c>
    </row>
    <row r="5" spans="1:2" x14ac:dyDescent="0.25">
      <c r="A5" t="s">
        <v>41</v>
      </c>
      <c r="B5">
        <f>1508-B21</f>
        <v>1506</v>
      </c>
    </row>
    <row r="6" spans="1:2" x14ac:dyDescent="0.25">
      <c r="A6" t="s">
        <v>42</v>
      </c>
      <c r="B6">
        <f>247-B22</f>
        <v>239</v>
      </c>
    </row>
    <row r="7" spans="1:2" x14ac:dyDescent="0.25">
      <c r="A7" t="s">
        <v>43</v>
      </c>
      <c r="B7">
        <v>0</v>
      </c>
    </row>
    <row r="8" spans="1:2" x14ac:dyDescent="0.25">
      <c r="A8" t="s">
        <v>5</v>
      </c>
      <c r="B8">
        <f>B4+B5+B6+B7</f>
        <v>6989</v>
      </c>
    </row>
    <row r="10" spans="1:2" x14ac:dyDescent="0.25">
      <c r="A10" s="5" t="s">
        <v>44</v>
      </c>
      <c r="B10" s="6"/>
    </row>
    <row r="11" spans="1:2" x14ac:dyDescent="0.25">
      <c r="A11" s="1" t="s">
        <v>38</v>
      </c>
      <c r="B11" s="1" t="s">
        <v>39</v>
      </c>
    </row>
    <row r="12" spans="1:2" x14ac:dyDescent="0.25">
      <c r="A12" t="s">
        <v>45</v>
      </c>
      <c r="B12">
        <f>2345-B28</f>
        <v>2199</v>
      </c>
    </row>
    <row r="13" spans="1:2" x14ac:dyDescent="0.25">
      <c r="A13" t="s">
        <v>46</v>
      </c>
      <c r="B13">
        <f>5584-B29</f>
        <v>4896</v>
      </c>
    </row>
    <row r="14" spans="1:2" x14ac:dyDescent="0.25">
      <c r="A14" t="s">
        <v>47</v>
      </c>
      <c r="B14">
        <v>47</v>
      </c>
    </row>
    <row r="15" spans="1:2" x14ac:dyDescent="0.25">
      <c r="A15" t="s">
        <v>48</v>
      </c>
      <c r="B15">
        <v>0</v>
      </c>
    </row>
    <row r="16" spans="1:2" x14ac:dyDescent="0.25">
      <c r="A16" t="s">
        <v>5</v>
      </c>
      <c r="B16">
        <f>B12+B13+B14+B15</f>
        <v>7142</v>
      </c>
    </row>
    <row r="18" spans="1:2" x14ac:dyDescent="0.25">
      <c r="A18" s="5" t="s">
        <v>49</v>
      </c>
      <c r="B18" s="6"/>
    </row>
    <row r="19" spans="1:2" x14ac:dyDescent="0.25">
      <c r="A19" s="1" t="s">
        <v>38</v>
      </c>
      <c r="B19" s="1" t="s">
        <v>39</v>
      </c>
    </row>
    <row r="20" spans="1:2" x14ac:dyDescent="0.25">
      <c r="A20" t="s">
        <v>40</v>
      </c>
      <c r="B20">
        <v>48</v>
      </c>
    </row>
    <row r="21" spans="1:2" x14ac:dyDescent="0.25">
      <c r="A21" t="s">
        <v>41</v>
      </c>
      <c r="B21">
        <v>2</v>
      </c>
    </row>
    <row r="22" spans="1:2" x14ac:dyDescent="0.25">
      <c r="A22" t="s">
        <v>42</v>
      </c>
      <c r="B22">
        <v>8</v>
      </c>
    </row>
    <row r="23" spans="1:2" x14ac:dyDescent="0.25">
      <c r="A23" t="s">
        <v>43</v>
      </c>
      <c r="B23">
        <v>0</v>
      </c>
    </row>
    <row r="24" spans="1:2" x14ac:dyDescent="0.25">
      <c r="A24" t="s">
        <v>5</v>
      </c>
      <c r="B24">
        <f>B20+B21+B22+B23</f>
        <v>58</v>
      </c>
    </row>
    <row r="26" spans="1:2" x14ac:dyDescent="0.25">
      <c r="A26" s="5" t="s">
        <v>50</v>
      </c>
      <c r="B26" s="6"/>
    </row>
    <row r="27" spans="1:2" x14ac:dyDescent="0.25">
      <c r="A27" s="1" t="s">
        <v>38</v>
      </c>
      <c r="B27" s="1" t="s">
        <v>39</v>
      </c>
    </row>
    <row r="28" spans="1:2" x14ac:dyDescent="0.25">
      <c r="A28" t="s">
        <v>45</v>
      </c>
      <c r="B28">
        <v>146</v>
      </c>
    </row>
    <row r="29" spans="1:2" x14ac:dyDescent="0.25">
      <c r="A29" t="s">
        <v>46</v>
      </c>
      <c r="B29">
        <v>688</v>
      </c>
    </row>
    <row r="30" spans="1:2" x14ac:dyDescent="0.25">
      <c r="A30" t="s">
        <v>47</v>
      </c>
      <c r="B30">
        <v>0</v>
      </c>
    </row>
    <row r="31" spans="1:2" x14ac:dyDescent="0.25">
      <c r="A31" t="s">
        <v>48</v>
      </c>
      <c r="B31">
        <v>0</v>
      </c>
    </row>
    <row r="32" spans="1:2" x14ac:dyDescent="0.25">
      <c r="A32" t="s">
        <v>5</v>
      </c>
      <c r="B32">
        <f>B28+B29+B30+B31</f>
        <v>834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8" customWidth="1"/>
  </cols>
  <sheetData>
    <row r="1" spans="1:2" ht="42" customHeight="1" x14ac:dyDescent="0.25">
      <c r="A1" s="2" t="s">
        <v>51</v>
      </c>
      <c r="B1" s="3" t="s">
        <v>52</v>
      </c>
    </row>
    <row r="2" spans="1:2" x14ac:dyDescent="0.25">
      <c r="A2" s="4" t="s">
        <v>53</v>
      </c>
      <c r="B2" s="3">
        <v>89</v>
      </c>
    </row>
    <row r="3" spans="1:2" x14ac:dyDescent="0.25">
      <c r="A3" s="4" t="s">
        <v>54</v>
      </c>
      <c r="B3" s="3">
        <v>8</v>
      </c>
    </row>
    <row r="4" spans="1:2" x14ac:dyDescent="0.25">
      <c r="A4" s="4" t="s">
        <v>55</v>
      </c>
      <c r="B4" s="3">
        <v>10</v>
      </c>
    </row>
    <row r="5" spans="1:2" x14ac:dyDescent="0.25">
      <c r="A5" s="4" t="s">
        <v>56</v>
      </c>
      <c r="B5" s="3">
        <v>22</v>
      </c>
    </row>
    <row r="6" spans="1:2" x14ac:dyDescent="0.25">
      <c r="A6" s="4" t="s">
        <v>57</v>
      </c>
      <c r="B6" s="3">
        <v>10</v>
      </c>
    </row>
    <row r="7" spans="1:2" x14ac:dyDescent="0.25">
      <c r="A7" s="4" t="s">
        <v>58</v>
      </c>
      <c r="B7" s="3">
        <v>10</v>
      </c>
    </row>
    <row r="8" spans="1:2" x14ac:dyDescent="0.25">
      <c r="A8" s="4" t="s">
        <v>59</v>
      </c>
      <c r="B8" s="3">
        <v>84</v>
      </c>
    </row>
    <row r="9" spans="1:2" x14ac:dyDescent="0.25">
      <c r="A9" s="4" t="s">
        <v>60</v>
      </c>
      <c r="B9" s="3">
        <v>87</v>
      </c>
    </row>
    <row r="10" spans="1:2" x14ac:dyDescent="0.25">
      <c r="A10" s="4" t="s">
        <v>61</v>
      </c>
      <c r="B10" s="3">
        <v>19</v>
      </c>
    </row>
    <row r="11" spans="1:2" x14ac:dyDescent="0.25">
      <c r="A11" s="4" t="s">
        <v>62</v>
      </c>
      <c r="B11" s="3">
        <v>54</v>
      </c>
    </row>
    <row r="12" spans="1:2" x14ac:dyDescent="0.25">
      <c r="A12" s="4" t="s">
        <v>63</v>
      </c>
      <c r="B12" s="3">
        <v>18</v>
      </c>
    </row>
    <row r="13" spans="1:2" x14ac:dyDescent="0.25">
      <c r="A13" s="4" t="s">
        <v>64</v>
      </c>
      <c r="B13" s="3">
        <v>18</v>
      </c>
    </row>
    <row r="14" spans="1:2" x14ac:dyDescent="0.25">
      <c r="A14" s="4" t="s">
        <v>65</v>
      </c>
      <c r="B14" s="3">
        <v>322</v>
      </c>
    </row>
    <row r="15" spans="1:2" x14ac:dyDescent="0.25">
      <c r="A15" s="4" t="s">
        <v>66</v>
      </c>
      <c r="B15" s="3">
        <v>106</v>
      </c>
    </row>
    <row r="16" spans="1:2" x14ac:dyDescent="0.25">
      <c r="A16" s="4" t="s">
        <v>67</v>
      </c>
      <c r="B16" s="3">
        <v>20</v>
      </c>
    </row>
    <row r="17" spans="1:2" x14ac:dyDescent="0.25">
      <c r="A17" s="4" t="s">
        <v>68</v>
      </c>
      <c r="B17" s="3">
        <v>18</v>
      </c>
    </row>
    <row r="18" spans="1:2" x14ac:dyDescent="0.25">
      <c r="A18" s="4" t="s">
        <v>69</v>
      </c>
      <c r="B18" s="3">
        <v>299</v>
      </c>
    </row>
    <row r="19" spans="1:2" x14ac:dyDescent="0.25">
      <c r="A19" s="4" t="s">
        <v>70</v>
      </c>
      <c r="B19" s="3">
        <v>30</v>
      </c>
    </row>
    <row r="20" spans="1:2" x14ac:dyDescent="0.25">
      <c r="A20" s="4" t="s">
        <v>71</v>
      </c>
      <c r="B20" s="3">
        <v>29</v>
      </c>
    </row>
    <row r="21" spans="1:2" x14ac:dyDescent="0.25">
      <c r="A21" s="4" t="s">
        <v>72</v>
      </c>
      <c r="B21" s="3">
        <v>41</v>
      </c>
    </row>
    <row r="22" spans="1:2" x14ac:dyDescent="0.25">
      <c r="A22" s="4" t="s">
        <v>73</v>
      </c>
      <c r="B22" s="3">
        <v>61</v>
      </c>
    </row>
    <row r="23" spans="1:2" x14ac:dyDescent="0.25">
      <c r="A23" s="4" t="s">
        <v>74</v>
      </c>
      <c r="B23" s="3">
        <v>40</v>
      </c>
    </row>
    <row r="24" spans="1:2" x14ac:dyDescent="0.25">
      <c r="A24" s="4" t="s">
        <v>75</v>
      </c>
      <c r="B24" s="3">
        <v>81</v>
      </c>
    </row>
    <row r="25" spans="1:2" x14ac:dyDescent="0.25">
      <c r="A25" s="4" t="s">
        <v>76</v>
      </c>
      <c r="B25" s="3">
        <v>30</v>
      </c>
    </row>
    <row r="26" spans="1:2" x14ac:dyDescent="0.25">
      <c r="A26" s="4" t="s">
        <v>77</v>
      </c>
      <c r="B26" s="3">
        <v>46</v>
      </c>
    </row>
    <row r="27" spans="1:2" x14ac:dyDescent="0.25">
      <c r="A27" s="4" t="s">
        <v>78</v>
      </c>
      <c r="B27" s="3">
        <v>60</v>
      </c>
    </row>
    <row r="28" spans="1:2" x14ac:dyDescent="0.25">
      <c r="A28" s="4" t="s">
        <v>79</v>
      </c>
      <c r="B28" s="3">
        <v>60</v>
      </c>
    </row>
    <row r="29" spans="1:2" x14ac:dyDescent="0.25">
      <c r="A29" s="4" t="s">
        <v>80</v>
      </c>
      <c r="B29" s="3">
        <v>90</v>
      </c>
    </row>
    <row r="30" spans="1:2" x14ac:dyDescent="0.25">
      <c r="A30" s="4" t="s">
        <v>81</v>
      </c>
      <c r="B30" s="3">
        <v>60</v>
      </c>
    </row>
    <row r="31" spans="1:2" x14ac:dyDescent="0.25">
      <c r="A31" s="4" t="s">
        <v>82</v>
      </c>
      <c r="B31" s="3">
        <v>81</v>
      </c>
    </row>
    <row r="32" spans="1:2" x14ac:dyDescent="0.25">
      <c r="A32" s="4" t="s">
        <v>83</v>
      </c>
      <c r="B32" s="3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5" customWidth="1"/>
    <col min="2" max="2" width="22" customWidth="1"/>
  </cols>
  <sheetData>
    <row r="1" spans="1:2" x14ac:dyDescent="0.25">
      <c r="A1" s="5" t="s">
        <v>84</v>
      </c>
      <c r="B1" s="6"/>
    </row>
    <row r="2" spans="1:2" x14ac:dyDescent="0.25">
      <c r="A2" s="1" t="s">
        <v>85</v>
      </c>
      <c r="B2" s="1" t="s">
        <v>30</v>
      </c>
    </row>
    <row r="3" spans="1:2" x14ac:dyDescent="0.25">
      <c r="A3" t="s">
        <v>31</v>
      </c>
      <c r="B3">
        <v>212</v>
      </c>
    </row>
    <row r="4" spans="1:2" x14ac:dyDescent="0.25">
      <c r="A4" t="s">
        <v>32</v>
      </c>
      <c r="B4">
        <v>711</v>
      </c>
    </row>
    <row r="5" spans="1:2" x14ac:dyDescent="0.25">
      <c r="A5" t="s">
        <v>33</v>
      </c>
      <c r="B5">
        <v>3</v>
      </c>
    </row>
    <row r="6" spans="1:2" x14ac:dyDescent="0.25">
      <c r="A6" t="s">
        <v>34</v>
      </c>
      <c r="B6">
        <v>0</v>
      </c>
    </row>
    <row r="7" spans="1:2" x14ac:dyDescent="0.25">
      <c r="A7" t="s">
        <v>5</v>
      </c>
      <c r="B7">
        <v>926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Таблица1</vt:lpstr>
      <vt:lpstr>Таблица2</vt:lpstr>
      <vt:lpstr>Таблица3</vt:lpstr>
      <vt:lpstr>Таблица4</vt:lpstr>
      <vt:lpstr>Таблица5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Stas</cp:lastModifiedBy>
  <dcterms:created xsi:type="dcterms:W3CDTF">2026-05-25T03:11:06Z</dcterms:created>
  <dcterms:modified xsi:type="dcterms:W3CDTF">2026-05-25T03:49:16Z</dcterms:modified>
</cp:coreProperties>
</file>