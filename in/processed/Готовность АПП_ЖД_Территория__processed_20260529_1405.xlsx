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8.02.2026 г." sheetId="1" r:id="rId5"/>
    <sheet state="visible" name="Распределение НП по РК" sheetId="2" r:id="rId6"/>
  </sheets>
  <definedNames/>
  <calcPr/>
</workbook>
</file>

<file path=xl/sharedStrings.xml><?xml version="1.0" encoding="utf-8"?>
<sst xmlns="http://schemas.openxmlformats.org/spreadsheetml/2006/main" count="236" uniqueCount="97">
  <si>
    <t>Тип точки (АПП / ЖД станция / склад)</t>
  </si>
  <si>
    <t>Статус (Готов / Не готов)</t>
  </si>
  <si>
    <t>Причина неготовности</t>
  </si>
  <si>
    <t>Плановое время устранения</t>
  </si>
  <si>
    <t>Ответственное лицо</t>
  </si>
  <si>
    <t>Примечание</t>
  </si>
  <si>
    <t>Остаток пломбы</t>
  </si>
  <si>
    <t>Алакөл (авто)</t>
  </si>
  <si>
    <t>Готов</t>
  </si>
  <si>
    <t>-</t>
  </si>
  <si>
    <t>Нұржолы (авто)</t>
  </si>
  <si>
    <t>Қалжат (авто)</t>
  </si>
  <si>
    <t>Майқапшағай (авто)</t>
  </si>
  <si>
    <t>Бақты (авто)</t>
  </si>
  <si>
    <t>Тәжен (авто)</t>
  </si>
  <si>
    <t>Темір-баба (авто)</t>
  </si>
  <si>
    <t xml:space="preserve">         Бисемби Жанибек Кадырбекович</t>
  </si>
  <si>
    <t>Б. Қонысбаева (авто)</t>
  </si>
  <si>
    <t>Атамекен (авто)</t>
  </si>
  <si>
    <t>Қазығурт (авто)</t>
  </si>
  <si>
    <t>Алматинская область</t>
  </si>
  <si>
    <t>Не готов</t>
  </si>
  <si>
    <t>Не принят работник</t>
  </si>
  <si>
    <t xml:space="preserve">До 28.02.2026 </t>
  </si>
  <si>
    <t xml:space="preserve">Аскар Бекбергенов, Марат Еслямов, Темирлан </t>
  </si>
  <si>
    <t>Документы собирает</t>
  </si>
  <si>
    <t>Атырауская область</t>
  </si>
  <si>
    <t>Область Ұлытау</t>
  </si>
  <si>
    <t>В работе</t>
  </si>
  <si>
    <t>Кызылординская область</t>
  </si>
  <si>
    <t>Костанайская область</t>
  </si>
  <si>
    <t>Жамбылская область</t>
  </si>
  <si>
    <t>Область Жетісу</t>
  </si>
  <si>
    <t>Акмолинская область
 г. Көкшетау
 (склад авто по взаимке)</t>
  </si>
  <si>
    <t>Актюбинская область
 г. Ақтөбе
 (склад авто по взаимке)</t>
  </si>
  <si>
    <t>Северо-Казахстанская область
 г. Петропавл
 (склад авто по взаимке)</t>
  </si>
  <si>
    <t>Павлодарская область
 г. Павлодар
 (склад авто по взаимке)</t>
  </si>
  <si>
    <t>Область Абай
 г. Семей
 (склад авто по взаимке)</t>
  </si>
  <si>
    <t>Карагандинская область
 г. Қарағанды
 (склад авто по взаимке)</t>
  </si>
  <si>
    <t>Западно-Казахстанская область
 г. Орал
 (склад авто по взаимке)</t>
  </si>
  <si>
    <t>Восточно- Казахстанская область
 г. Өскемен
 (склад авто по взаимке)</t>
  </si>
  <si>
    <t xml:space="preserve">В работе, документы собирает. </t>
  </si>
  <si>
    <t>г. Шымкент</t>
  </si>
  <si>
    <t>г. Астана</t>
  </si>
  <si>
    <t>Теміржол ж/д</t>
  </si>
  <si>
    <t>Алтынкөл-жол ж/д</t>
  </si>
  <si>
    <t>Болашақ ж/д</t>
  </si>
  <si>
    <t>Сарыағаш ж/д</t>
  </si>
  <si>
    <t>Оазис (Бейнеу) ж/д</t>
  </si>
  <si>
    <t>Ақтау-порт ж/д</t>
  </si>
  <si>
    <t>Құрык-порт ж/д</t>
  </si>
  <si>
    <t xml:space="preserve"> </t>
  </si>
  <si>
    <t>Пост</t>
  </si>
  <si>
    <t>Работники факт/план</t>
  </si>
  <si>
    <t>ПК комплект факт/план</t>
  </si>
  <si>
    <t>НП 
 факт/план</t>
  </si>
  <si>
    <t>В пути</t>
  </si>
  <si>
    <t>Сумма факта и в пути</t>
  </si>
  <si>
    <t>10/16</t>
  </si>
  <si>
    <t>510/400</t>
  </si>
  <si>
    <t>15/16</t>
  </si>
  <si>
    <t>600/300</t>
  </si>
  <si>
    <t>300/150</t>
  </si>
  <si>
    <t>167/167</t>
  </si>
  <si>
    <t>9/16</t>
  </si>
  <si>
    <t>13/13</t>
  </si>
  <si>
    <t>70/40</t>
  </si>
  <si>
    <t>11/13</t>
  </si>
  <si>
    <t>55/15</t>
  </si>
  <si>
    <t>Қапланбек (авто)</t>
  </si>
  <si>
    <t>0/13</t>
  </si>
  <si>
    <t>0/15</t>
  </si>
  <si>
    <t>115/0</t>
  </si>
  <si>
    <t>Жібек жолы (авто)
 (в настоящее время временно закрыт на ремонт)</t>
  </si>
  <si>
    <t>0/0</t>
  </si>
  <si>
    <t>0/30</t>
  </si>
  <si>
    <t>0/1</t>
  </si>
  <si>
    <t>5/0</t>
  </si>
  <si>
    <t>Костанайская область
 г. Костанай
 (склад авто по взаимке)</t>
  </si>
  <si>
    <t>19/20</t>
  </si>
  <si>
    <t>40/20</t>
  </si>
  <si>
    <t>15/15</t>
  </si>
  <si>
    <t>40/15</t>
  </si>
  <si>
    <t>30/15</t>
  </si>
  <si>
    <t>0/3</t>
  </si>
  <si>
    <t>0/2</t>
  </si>
  <si>
    <t>30/20</t>
  </si>
  <si>
    <t>20/20</t>
  </si>
  <si>
    <t>6/16</t>
  </si>
  <si>
    <t>5/16</t>
  </si>
  <si>
    <t>25/15</t>
  </si>
  <si>
    <t>2/16</t>
  </si>
  <si>
    <t>45/15</t>
  </si>
  <si>
    <t>1/0</t>
  </si>
  <si>
    <t>10/0</t>
  </si>
  <si>
    <t>10/15</t>
  </si>
  <si>
    <t>г. Ақтау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</si>
</sst>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"/>
  </numFmts>
  <fonts count="11">
    <font>
      <sz val="10.0"/>
      <color rgb="FF000000"/>
      <name val="Arial"/>
      <scheme val="minor"/>
    </font>
    <font>
      <b/>
      <sz val="11.0"/>
      <color theme="1"/>
      <name val="Calibri"/>
    </font>
    <font>
      <b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&quot;Times New Roman&quot;"/>
    </font>
    <font>
      <color rgb="FF000000"/>
      <name val="Arial"/>
      <scheme val="minor"/>
    </font>
    <font>
      <sz val="10.0"/>
      <color theme="1"/>
      <name val="Arial"/>
    </font>
    <font>
      <b/>
      <color theme="1"/>
      <name val="Arial"/>
      <scheme val="minor"/>
    </font>
    <font>
      <color theme="1"/>
      <name val="Arial"/>
    </font>
    <font>
      <b/>
      <sz val="12.0"/>
      <color theme="1"/>
      <name val="&quot;Times New Roman&quot;"/>
    </font>
    <font>
      <b/>
      <sz val="12.0"/>
      <color rgb="FF000000"/>
      <name val="&quot;Times New Roman&quot;"/>
    </font>
  </fonts>
  <fills count="9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  <fill>
      <patternFill patternType="solid">
        <fgColor rgb="FF92D050"/>
        <bgColor rgb="FF92D050"/>
      </patternFill>
    </fill>
    <fill>
      <patternFill patternType="solid">
        <fgColor rgb="FFFFC000"/>
        <bgColor rgb="FFFFC000"/>
      </patternFill>
    </fill>
    <fill>
      <patternFill patternType="solid">
        <fgColor rgb="FF00B0F0"/>
        <bgColor rgb="FF00B0F0"/>
      </patternFill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  <fill>
      <patternFill patternType="solid">
        <fgColor rgb="FFDAEEF3"/>
        <bgColor rgb="FFDAEEF3"/>
      </patternFill>
    </fill>
  </fills>
  <borders count="3">
    <border/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readingOrder="0" shrinkToFit="0" vertical="bottom" wrapText="1"/>
    </xf>
    <xf borderId="0" fillId="2" fontId="2" numFmtId="0" xfId="0" applyAlignment="1" applyFill="1" applyFont="1">
      <alignment readingOrder="0"/>
    </xf>
    <xf borderId="0" fillId="3" fontId="3" numFmtId="0" xfId="0" applyAlignment="1" applyFill="1" applyFont="1">
      <alignment horizontal="center" readingOrder="0" shrinkToFit="0" wrapText="1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1" fillId="0" fontId="4" numFmtId="0" xfId="0" applyAlignment="1" applyBorder="1" applyFont="1">
      <alignment readingOrder="0" shrinkToFit="0" vertical="bottom" wrapText="1"/>
    </xf>
    <xf borderId="0" fillId="3" fontId="5" numFmtId="0" xfId="0" applyAlignment="1" applyFont="1">
      <alignment horizontal="center" readingOrder="0" shrinkToFit="0" wrapText="1"/>
    </xf>
    <xf borderId="2" fillId="0" fontId="4" numFmtId="0" xfId="0" applyAlignment="1" applyBorder="1" applyFont="1">
      <alignment readingOrder="0" shrinkToFit="0" vertical="bottom" wrapText="0"/>
    </xf>
    <xf borderId="0" fillId="4" fontId="5" numFmtId="0" xfId="0" applyAlignment="1" applyFill="1" applyFont="1">
      <alignment horizontal="center" readingOrder="0" shrinkToFit="0" wrapText="1"/>
    </xf>
    <xf borderId="0" fillId="0" fontId="3" numFmtId="0" xfId="0" applyAlignment="1" applyFont="1">
      <alignment horizontal="center" readingOrder="0" shrinkToFit="0" wrapText="1"/>
    </xf>
    <xf borderId="0" fillId="0" fontId="3" numFmtId="0" xfId="0" applyAlignment="1" applyFont="1">
      <alignment readingOrder="0" shrinkToFit="0" wrapText="1"/>
    </xf>
    <xf borderId="0" fillId="5" fontId="5" numFmtId="0" xfId="0" applyAlignment="1" applyFill="1" applyFont="1">
      <alignment horizontal="center" readingOrder="0" shrinkToFit="0" wrapText="1"/>
    </xf>
    <xf borderId="0" fillId="0" fontId="3" numFmtId="0" xfId="0" applyAlignment="1" applyFont="1">
      <alignment horizontal="center"/>
    </xf>
    <xf borderId="0" fillId="0" fontId="6" numFmtId="0" xfId="0" applyFont="1"/>
    <xf borderId="0" fillId="0" fontId="7" numFmtId="0" xfId="0" applyAlignment="1" applyFont="1">
      <alignment horizontal="center" readingOrder="0"/>
    </xf>
    <xf borderId="0" fillId="0" fontId="7" numFmtId="0" xfId="0" applyAlignment="1" applyFont="1">
      <alignment horizontal="center" readingOrder="0" vertical="center"/>
    </xf>
    <xf borderId="0" fillId="6" fontId="3" numFmtId="164" xfId="0" applyAlignment="1" applyFill="1" applyFont="1" applyNumberFormat="1">
      <alignment readingOrder="0"/>
    </xf>
    <xf borderId="0" fillId="7" fontId="3" numFmtId="164" xfId="0" applyAlignment="1" applyFill="1" applyFont="1" applyNumberFormat="1">
      <alignment readingOrder="0"/>
    </xf>
    <xf borderId="0" fillId="0" fontId="3" numFmtId="164" xfId="0" applyAlignment="1" applyFont="1" applyNumberFormat="1">
      <alignment horizontal="center" readingOrder="0"/>
    </xf>
    <xf borderId="0" fillId="0" fontId="3" numFmtId="164" xfId="0" applyAlignment="1" applyFont="1" applyNumberFormat="1">
      <alignment readingOrder="0"/>
    </xf>
    <xf borderId="0" fillId="0" fontId="6" numFmtId="164" xfId="0" applyAlignment="1" applyFont="1" applyNumberFormat="1">
      <alignment readingOrder="0"/>
    </xf>
    <xf borderId="0" fillId="0" fontId="8" numFmtId="164" xfId="0" applyAlignment="1" applyFont="1" applyNumberFormat="1">
      <alignment horizontal="right" vertical="bottom"/>
    </xf>
    <xf borderId="0" fillId="0" fontId="8" numFmtId="164" xfId="0" applyAlignment="1" applyFont="1" applyNumberFormat="1">
      <alignment horizontal="right" readingOrder="0" vertical="bottom"/>
    </xf>
    <xf borderId="0" fillId="6" fontId="5" numFmtId="0" xfId="0" applyAlignment="1" applyFont="1">
      <alignment horizontal="center" readingOrder="0"/>
    </xf>
    <xf borderId="0" fillId="6" fontId="5" numFmtId="165" xfId="0" applyAlignment="1" applyFont="1" applyNumberFormat="1">
      <alignment horizontal="center" readingOrder="0"/>
    </xf>
    <xf borderId="0" fillId="6" fontId="3" numFmtId="0" xfId="0" applyAlignment="1" applyFont="1">
      <alignment readingOrder="0"/>
    </xf>
    <xf borderId="0" fillId="6" fontId="3" numFmtId="0" xfId="0" applyFont="1"/>
    <xf borderId="0" fillId="7" fontId="3" numFmtId="0" xfId="0" applyAlignment="1" applyFont="1">
      <alignment readingOrder="0"/>
    </xf>
    <xf borderId="0" fillId="0" fontId="6" numFmtId="0" xfId="0" applyAlignment="1" applyFont="1">
      <alignment horizontal="right" readingOrder="0" vertical="top"/>
    </xf>
    <xf borderId="0" fillId="0" fontId="8" numFmtId="0" xfId="0" applyAlignment="1" applyFont="1">
      <alignment horizontal="right" vertical="bottom"/>
    </xf>
    <xf borderId="0" fillId="0" fontId="8" numFmtId="0" xfId="0" applyAlignment="1" applyFont="1">
      <alignment horizontal="right" readingOrder="0" vertical="bottom"/>
    </xf>
    <xf borderId="0" fillId="6" fontId="3" numFmtId="0" xfId="0" applyAlignment="1" applyFont="1">
      <alignment horizontal="center" readingOrder="0"/>
    </xf>
    <xf borderId="0" fillId="6" fontId="3" numFmtId="165" xfId="0" applyAlignment="1" applyFont="1" applyNumberFormat="1">
      <alignment horizontal="center" readingOrder="0"/>
    </xf>
    <xf borderId="0" fillId="7" fontId="3" numFmtId="0" xfId="0" applyFont="1"/>
    <xf borderId="0" fillId="0" fontId="8" numFmtId="0" xfId="0" applyAlignment="1" applyFont="1">
      <alignment vertical="bottom"/>
    </xf>
    <xf borderId="0" fillId="0" fontId="6" numFmtId="0" xfId="0" applyAlignment="1" applyFont="1">
      <alignment horizontal="right" readingOrder="0" vertical="bottom"/>
    </xf>
    <xf borderId="0" fillId="0" fontId="6" numFmtId="0" xfId="0" applyAlignment="1" applyFont="1">
      <alignment horizontal="right" readingOrder="0"/>
    </xf>
    <xf borderId="0" fillId="0" fontId="9" numFmtId="0" xfId="0" applyAlignment="1" applyFont="1">
      <alignment horizontal="center" readingOrder="0" vertical="top"/>
    </xf>
    <xf borderId="0" fillId="8" fontId="9" numFmtId="0" xfId="0" applyAlignment="1" applyFill="1" applyFont="1">
      <alignment horizontal="center" readingOrder="0" vertical="top"/>
    </xf>
    <xf borderId="0" fillId="8" fontId="10" numFmtId="0" xfId="0" applyAlignment="1" applyFont="1">
      <alignment horizontal="center" readingOrder="0" vertical="top"/>
    </xf>
    <xf borderId="0" fillId="0" fontId="3" numFmtId="0" xfId="0" applyAlignment="1" applyFont="1">
      <alignment readingOrder="0" vertical="top"/>
    </xf>
    <xf borderId="0" fillId="0" fontId="9" numFmtId="0" xfId="0" applyAlignment="1" applyFont="1">
      <alignment readingOrder="0"/>
    </xf>
    <xf borderId="0" fillId="0" fontId="3" numFmtId="0" xfId="0" applyAlignment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63"/>
    <col customWidth="1" min="2" max="2" width="24.38"/>
    <col customWidth="1" min="3" max="3" width="18.88"/>
    <col customWidth="1" min="4" max="4" width="23.5"/>
    <col customWidth="1" min="5" max="5" width="35.75"/>
    <col customWidth="1" min="6" max="6" width="21.75"/>
    <col customWidth="1" min="7" max="7" width="14.25"/>
  </cols>
  <sheetData>
    <row r="2" ht="33.75" customHeight="1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3" t="s">
        <v>6</v>
      </c>
    </row>
    <row r="3">
      <c r="A3" s="4" t="s">
        <v>7</v>
      </c>
      <c r="B3" s="5" t="s">
        <v>8</v>
      </c>
      <c r="C3" s="6" t="s">
        <v>9</v>
      </c>
      <c r="E3" s="7"/>
    </row>
    <row r="4">
      <c r="A4" s="8" t="s">
        <v>10</v>
      </c>
      <c r="B4" s="5" t="s">
        <v>8</v>
      </c>
      <c r="C4" s="6" t="s">
        <v>9</v>
      </c>
      <c r="E4" s="9"/>
    </row>
    <row r="5">
      <c r="A5" s="8" t="s">
        <v>11</v>
      </c>
      <c r="B5" s="5" t="s">
        <v>8</v>
      </c>
      <c r="C5" s="6" t="s">
        <v>9</v>
      </c>
    </row>
    <row r="6">
      <c r="A6" s="8" t="s">
        <v>12</v>
      </c>
      <c r="B6" s="5" t="s">
        <v>8</v>
      </c>
      <c r="C6" s="6" t="s">
        <v>9</v>
      </c>
    </row>
    <row r="7">
      <c r="A7" s="8" t="s">
        <v>13</v>
      </c>
      <c r="B7" s="5" t="s">
        <v>8</v>
      </c>
      <c r="C7" s="6" t="s">
        <v>9</v>
      </c>
    </row>
    <row r="8">
      <c r="A8" s="8" t="s">
        <v>14</v>
      </c>
      <c r="B8" s="5" t="s">
        <v>8</v>
      </c>
      <c r="C8" s="6" t="s">
        <v>9</v>
      </c>
    </row>
    <row r="9">
      <c r="A9" s="8" t="s">
        <v>15</v>
      </c>
      <c r="B9" s="5" t="s">
        <v>8</v>
      </c>
      <c r="C9" s="6" t="s">
        <v>9</v>
      </c>
      <c r="E9" s="6" t="s">
        <v>16</v>
      </c>
    </row>
    <row r="10">
      <c r="A10" s="8" t="s">
        <v>17</v>
      </c>
      <c r="B10" s="5" t="s">
        <v>8</v>
      </c>
      <c r="C10" s="6" t="s">
        <v>9</v>
      </c>
    </row>
    <row r="11">
      <c r="A11" s="8" t="s">
        <v>18</v>
      </c>
      <c r="B11" s="5" t="s">
        <v>8</v>
      </c>
      <c r="C11" s="6" t="s">
        <v>9</v>
      </c>
      <c r="G11" s="6">
        <v>63.0</v>
      </c>
    </row>
    <row r="12">
      <c r="A12" s="8" t="s">
        <v>19</v>
      </c>
      <c r="B12" s="5" t="s">
        <v>8</v>
      </c>
      <c r="C12" s="6" t="s">
        <v>9</v>
      </c>
    </row>
    <row r="13">
      <c r="A13" s="10" t="s">
        <v>20</v>
      </c>
      <c r="B13" s="5" t="s">
        <v>21</v>
      </c>
      <c r="C13" s="5" t="s">
        <v>22</v>
      </c>
      <c r="D13" s="5" t="s">
        <v>23</v>
      </c>
      <c r="E13" s="11" t="s">
        <v>24</v>
      </c>
      <c r="F13" s="12" t="s">
        <v>25</v>
      </c>
    </row>
    <row r="14">
      <c r="A14" s="10" t="s">
        <v>26</v>
      </c>
      <c r="B14" s="5" t="s">
        <v>8</v>
      </c>
      <c r="E14" s="11"/>
      <c r="F14" s="5"/>
    </row>
    <row r="15">
      <c r="A15" s="10" t="s">
        <v>27</v>
      </c>
      <c r="B15" s="5" t="s">
        <v>21</v>
      </c>
      <c r="C15" s="5" t="s">
        <v>22</v>
      </c>
      <c r="D15" s="5" t="s">
        <v>23</v>
      </c>
      <c r="E15" s="11" t="s">
        <v>24</v>
      </c>
      <c r="F15" s="5" t="s">
        <v>28</v>
      </c>
    </row>
    <row r="16">
      <c r="A16" s="10" t="s">
        <v>29</v>
      </c>
      <c r="B16" s="5" t="s">
        <v>21</v>
      </c>
      <c r="C16" s="5" t="s">
        <v>22</v>
      </c>
      <c r="D16" s="5" t="s">
        <v>23</v>
      </c>
      <c r="E16" s="11" t="s">
        <v>24</v>
      </c>
      <c r="F16" s="5" t="s">
        <v>28</v>
      </c>
    </row>
    <row r="17">
      <c r="A17" s="10" t="s">
        <v>30</v>
      </c>
      <c r="B17" s="5" t="s">
        <v>8</v>
      </c>
      <c r="C17" s="6" t="s">
        <v>9</v>
      </c>
    </row>
    <row r="18">
      <c r="A18" s="10" t="s">
        <v>31</v>
      </c>
      <c r="B18" s="5" t="s">
        <v>21</v>
      </c>
      <c r="C18" s="5" t="s">
        <v>22</v>
      </c>
      <c r="D18" s="5" t="s">
        <v>23</v>
      </c>
      <c r="E18" s="11" t="s">
        <v>24</v>
      </c>
      <c r="F18" s="5" t="s">
        <v>28</v>
      </c>
    </row>
    <row r="19">
      <c r="A19" s="10" t="s">
        <v>32</v>
      </c>
      <c r="B19" s="5" t="s">
        <v>21</v>
      </c>
      <c r="C19" s="5" t="s">
        <v>22</v>
      </c>
      <c r="D19" s="5" t="s">
        <v>23</v>
      </c>
      <c r="E19" s="11" t="s">
        <v>24</v>
      </c>
      <c r="F19" s="5" t="s">
        <v>28</v>
      </c>
    </row>
    <row r="20">
      <c r="A20" s="10" t="s">
        <v>33</v>
      </c>
      <c r="B20" s="5" t="s">
        <v>8</v>
      </c>
      <c r="C20" s="6" t="s">
        <v>9</v>
      </c>
    </row>
    <row r="21">
      <c r="A21" s="10" t="s">
        <v>34</v>
      </c>
      <c r="B21" s="5" t="s">
        <v>8</v>
      </c>
      <c r="C21" s="6" t="s">
        <v>9</v>
      </c>
    </row>
    <row r="22">
      <c r="A22" s="10" t="s">
        <v>35</v>
      </c>
      <c r="B22" s="5" t="s">
        <v>8</v>
      </c>
      <c r="C22" s="6" t="s">
        <v>9</v>
      </c>
    </row>
    <row r="23">
      <c r="A23" s="10" t="s">
        <v>36</v>
      </c>
      <c r="B23" s="5" t="s">
        <v>8</v>
      </c>
      <c r="C23" s="6" t="s">
        <v>9</v>
      </c>
    </row>
    <row r="24">
      <c r="A24" s="10" t="s">
        <v>37</v>
      </c>
      <c r="B24" s="5" t="s">
        <v>8</v>
      </c>
      <c r="C24" s="6" t="s">
        <v>9</v>
      </c>
    </row>
    <row r="25">
      <c r="A25" s="10" t="s">
        <v>38</v>
      </c>
      <c r="B25" s="5" t="s">
        <v>8</v>
      </c>
      <c r="C25" s="6" t="s">
        <v>9</v>
      </c>
    </row>
    <row r="26">
      <c r="A26" s="10" t="s">
        <v>39</v>
      </c>
      <c r="B26" s="5" t="s">
        <v>8</v>
      </c>
      <c r="C26" s="6" t="s">
        <v>9</v>
      </c>
    </row>
    <row r="27">
      <c r="A27" s="10" t="s">
        <v>40</v>
      </c>
      <c r="B27" s="5" t="s">
        <v>21</v>
      </c>
      <c r="C27" s="5" t="s">
        <v>22</v>
      </c>
      <c r="D27" s="5" t="s">
        <v>23</v>
      </c>
      <c r="E27" s="11" t="s">
        <v>24</v>
      </c>
      <c r="F27" s="5" t="s">
        <v>41</v>
      </c>
    </row>
    <row r="28">
      <c r="A28" s="10" t="s">
        <v>42</v>
      </c>
      <c r="B28" s="5" t="s">
        <v>8</v>
      </c>
      <c r="C28" s="6" t="s">
        <v>9</v>
      </c>
      <c r="G28" s="6">
        <v>15.0</v>
      </c>
    </row>
    <row r="29">
      <c r="A29" s="10" t="s">
        <v>43</v>
      </c>
      <c r="B29" s="5" t="s">
        <v>8</v>
      </c>
      <c r="C29" s="6" t="s">
        <v>9</v>
      </c>
    </row>
    <row r="30">
      <c r="A30" s="13" t="s">
        <v>44</v>
      </c>
      <c r="B30" s="5" t="s">
        <v>8</v>
      </c>
      <c r="C30" s="6" t="s">
        <v>9</v>
      </c>
    </row>
    <row r="31">
      <c r="A31" s="13" t="s">
        <v>45</v>
      </c>
      <c r="B31" s="5" t="s">
        <v>8</v>
      </c>
      <c r="C31" s="6" t="s">
        <v>9</v>
      </c>
    </row>
    <row r="32">
      <c r="A32" s="13" t="s">
        <v>46</v>
      </c>
      <c r="B32" s="5" t="s">
        <v>8</v>
      </c>
      <c r="C32" s="6" t="s">
        <v>9</v>
      </c>
    </row>
    <row r="33">
      <c r="A33" s="13" t="s">
        <v>47</v>
      </c>
      <c r="B33" s="5" t="s">
        <v>8</v>
      </c>
      <c r="C33" s="6" t="s">
        <v>9</v>
      </c>
    </row>
    <row r="34">
      <c r="A34" s="13" t="s">
        <v>48</v>
      </c>
      <c r="B34" s="5" t="s">
        <v>8</v>
      </c>
      <c r="C34" s="6" t="s">
        <v>9</v>
      </c>
    </row>
    <row r="35">
      <c r="A35" s="13" t="s">
        <v>49</v>
      </c>
      <c r="B35" s="5" t="s">
        <v>8</v>
      </c>
      <c r="C35" s="6" t="s">
        <v>9</v>
      </c>
    </row>
    <row r="36">
      <c r="A36" s="13" t="s">
        <v>50</v>
      </c>
      <c r="B36" s="5" t="s">
        <v>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25"/>
    <col customWidth="1" min="2" max="2" width="20.38"/>
    <col customWidth="1" min="3" max="3" width="20.63"/>
    <col customWidth="1" min="4" max="4" width="10.0"/>
    <col customWidth="1" min="5" max="5" width="6.5"/>
    <col customWidth="1" min="8" max="8" width="18.75"/>
    <col customWidth="1" min="24" max="24" width="34.13"/>
  </cols>
  <sheetData>
    <row r="1">
      <c r="A1" s="5" t="s">
        <v>51</v>
      </c>
      <c r="H1" s="14"/>
      <c r="P1" s="15"/>
    </row>
    <row r="2">
      <c r="A2" s="16" t="s">
        <v>52</v>
      </c>
      <c r="B2" s="16" t="s">
        <v>53</v>
      </c>
      <c r="C2" s="16" t="s">
        <v>54</v>
      </c>
      <c r="D2" s="16" t="s">
        <v>55</v>
      </c>
      <c r="E2" s="17" t="s">
        <v>56</v>
      </c>
      <c r="F2" s="18">
        <v>46072.0</v>
      </c>
      <c r="G2" s="19">
        <v>46076.0</v>
      </c>
      <c r="H2" s="6" t="s">
        <v>57</v>
      </c>
      <c r="I2" s="20">
        <v>46077.0</v>
      </c>
      <c r="J2" s="21">
        <v>46078.0</v>
      </c>
      <c r="K2" s="21">
        <v>46079.0</v>
      </c>
      <c r="L2" s="21">
        <v>46080.0</v>
      </c>
      <c r="M2" s="21">
        <v>46083.0</v>
      </c>
      <c r="N2" s="21">
        <v>46084.0</v>
      </c>
      <c r="O2" s="21">
        <v>46085.0</v>
      </c>
      <c r="P2" s="22">
        <v>46086.0</v>
      </c>
      <c r="Q2" s="21">
        <v>46087.0</v>
      </c>
      <c r="R2" s="21">
        <v>46091.0</v>
      </c>
      <c r="S2" s="21">
        <v>46092.0</v>
      </c>
      <c r="T2" s="21">
        <v>46093.0</v>
      </c>
      <c r="U2" s="21">
        <v>46094.0</v>
      </c>
      <c r="V2" s="21">
        <v>46097.0</v>
      </c>
      <c r="W2" s="21">
        <v>46098.0</v>
      </c>
      <c r="X2" s="21">
        <v>46099.0</v>
      </c>
      <c r="Y2" s="21">
        <v>46100.0</v>
      </c>
      <c r="Z2" s="21">
        <v>46101.0</v>
      </c>
      <c r="AA2" s="21">
        <v>46107.0</v>
      </c>
      <c r="AB2" s="21">
        <v>46108.0</v>
      </c>
      <c r="AC2" s="21">
        <v>46111.0</v>
      </c>
      <c r="AD2" s="21">
        <v>46112.0</v>
      </c>
      <c r="AE2" s="21">
        <v>46113.0</v>
      </c>
      <c r="AF2" s="21">
        <v>46114.0</v>
      </c>
      <c r="AG2" s="21">
        <v>46115.0</v>
      </c>
      <c r="AH2" s="21">
        <v>46118.0</v>
      </c>
      <c r="AI2" s="21">
        <v>46119.0</v>
      </c>
      <c r="AJ2" s="21">
        <v>46120.0</v>
      </c>
      <c r="AK2" s="23">
        <v>46121.0</v>
      </c>
      <c r="AL2" s="24">
        <v>46122.0</v>
      </c>
      <c r="AM2" s="24">
        <v>46125.0</v>
      </c>
      <c r="AN2" s="24">
        <v>46126.0</v>
      </c>
      <c r="AO2" s="24">
        <v>46127.0</v>
      </c>
      <c r="AP2" s="24">
        <v>46128.0</v>
      </c>
      <c r="AQ2" s="24">
        <v>46129.0</v>
      </c>
      <c r="AR2" s="24">
        <v>46132.0</v>
      </c>
      <c r="AS2" s="24">
        <v>46133.0</v>
      </c>
      <c r="AT2" s="24">
        <v>46134.0</v>
      </c>
      <c r="AU2" s="24">
        <v>46135.0</v>
      </c>
      <c r="AV2" s="24">
        <v>46136.0</v>
      </c>
      <c r="AW2" s="24">
        <v>46139.0</v>
      </c>
      <c r="AX2" s="24">
        <v>46140.0</v>
      </c>
      <c r="AY2" s="24">
        <v>46146.0</v>
      </c>
      <c r="AZ2" s="24">
        <v>46147.0</v>
      </c>
      <c r="BA2" s="24">
        <v>46148.0</v>
      </c>
      <c r="BB2" s="24">
        <v>46150.0</v>
      </c>
      <c r="BC2" s="24">
        <v>46154.0</v>
      </c>
      <c r="BD2" s="24">
        <v>46155.0</v>
      </c>
      <c r="BE2" s="24">
        <v>46156.0</v>
      </c>
      <c r="BF2" s="24">
        <v>46157.0</v>
      </c>
      <c r="BG2" s="24">
        <v>46160.0</v>
      </c>
      <c r="BH2" s="24">
        <v>46161.0</v>
      </c>
      <c r="BI2" s="24">
        <v>46162.0</v>
      </c>
      <c r="BJ2" s="24">
        <v>46163.0</v>
      </c>
      <c r="BK2" s="24">
        <v>46164.0</v>
      </c>
      <c r="BL2" s="24">
        <v>46167.0</v>
      </c>
      <c r="BM2" s="24">
        <v>46168.0</v>
      </c>
      <c r="BN2" s="24">
        <v>46170.0</v>
      </c>
      <c r="BO2" s="24"/>
    </row>
    <row r="3">
      <c r="A3" s="25" t="s">
        <v>7</v>
      </c>
      <c r="B3" s="25" t="s">
        <v>58</v>
      </c>
      <c r="C3" s="26">
        <v>46054.0</v>
      </c>
      <c r="D3" s="25" t="s">
        <v>59</v>
      </c>
      <c r="E3" s="27"/>
      <c r="F3" s="28"/>
      <c r="G3" s="29">
        <v>470.0</v>
      </c>
      <c r="H3" s="14">
        <f>790+E3</f>
        <v>790</v>
      </c>
      <c r="I3" s="5">
        <v>466.0</v>
      </c>
      <c r="J3" s="5">
        <v>460.0</v>
      </c>
      <c r="K3" s="5">
        <v>458.0</v>
      </c>
      <c r="L3" s="5">
        <v>453.0</v>
      </c>
      <c r="M3" s="5">
        <v>661.0</v>
      </c>
      <c r="N3" s="5">
        <v>657.0</v>
      </c>
      <c r="O3" s="5">
        <v>656.0</v>
      </c>
      <c r="P3" s="30">
        <v>648.0</v>
      </c>
      <c r="Q3" s="5">
        <v>625.0</v>
      </c>
      <c r="R3" s="5">
        <v>601.0</v>
      </c>
      <c r="S3" s="5">
        <v>595.0</v>
      </c>
      <c r="T3" s="5">
        <v>589.0</v>
      </c>
      <c r="U3" s="5">
        <v>582.0</v>
      </c>
      <c r="V3" s="5">
        <v>560.0</v>
      </c>
      <c r="W3" s="5">
        <v>552.0</v>
      </c>
      <c r="X3" s="5">
        <v>549.0</v>
      </c>
      <c r="Y3" s="5">
        <v>540.0</v>
      </c>
      <c r="Z3" s="5">
        <v>535.0</v>
      </c>
      <c r="AA3" s="5">
        <v>505.0</v>
      </c>
      <c r="AB3" s="5">
        <v>491.0</v>
      </c>
      <c r="AC3" s="5">
        <v>247.0</v>
      </c>
      <c r="AD3" s="5">
        <v>238.0</v>
      </c>
      <c r="AE3" s="5">
        <v>230.0</v>
      </c>
      <c r="AF3" s="5">
        <v>207.0</v>
      </c>
      <c r="AG3" s="5">
        <v>197.0</v>
      </c>
      <c r="AH3" s="5">
        <v>167.0</v>
      </c>
      <c r="AI3" s="5">
        <v>159.0</v>
      </c>
      <c r="AJ3" s="5">
        <v>149.0</v>
      </c>
      <c r="AK3" s="31">
        <v>136.0</v>
      </c>
      <c r="AL3" s="32">
        <v>129.0</v>
      </c>
      <c r="AM3" s="32">
        <v>252.0</v>
      </c>
      <c r="AN3" s="32">
        <v>329.0</v>
      </c>
      <c r="AO3" s="32">
        <v>323.0</v>
      </c>
      <c r="AP3" s="32">
        <v>301.0</v>
      </c>
      <c r="AQ3" s="32">
        <v>289.0</v>
      </c>
      <c r="AR3" s="32">
        <v>270.0</v>
      </c>
      <c r="AS3" s="32">
        <v>249.0</v>
      </c>
      <c r="AT3" s="32">
        <v>235.0</v>
      </c>
      <c r="AU3" s="32">
        <v>221.0</v>
      </c>
      <c r="AV3" s="32">
        <v>208.0</v>
      </c>
      <c r="AW3" s="32">
        <v>154.0</v>
      </c>
      <c r="AX3" s="32">
        <v>130.0</v>
      </c>
      <c r="AY3" s="32">
        <v>192.0</v>
      </c>
      <c r="AZ3" s="32">
        <v>184.0</v>
      </c>
      <c r="BA3" s="32">
        <v>160.0</v>
      </c>
      <c r="BB3" s="32">
        <v>226.0</v>
      </c>
      <c r="BC3" s="32">
        <v>169.0</v>
      </c>
      <c r="BD3" s="32">
        <v>164.0</v>
      </c>
      <c r="BE3" s="32">
        <v>150.0</v>
      </c>
      <c r="BF3" s="32">
        <v>141.0</v>
      </c>
      <c r="BG3" s="32">
        <v>96.0</v>
      </c>
      <c r="BH3" s="32">
        <v>81.0</v>
      </c>
      <c r="BI3" s="32">
        <v>158.0</v>
      </c>
      <c r="BJ3" s="32">
        <v>148.0</v>
      </c>
      <c r="BK3" s="32">
        <v>131.0</v>
      </c>
      <c r="BL3" s="32">
        <v>106.0</v>
      </c>
      <c r="BM3" s="32">
        <v>84.0</v>
      </c>
      <c r="BN3" s="32">
        <v>183.0</v>
      </c>
      <c r="BO3" s="31"/>
    </row>
    <row r="4">
      <c r="A4" s="25" t="s">
        <v>10</v>
      </c>
      <c r="B4" s="25" t="s">
        <v>60</v>
      </c>
      <c r="C4" s="26">
        <v>46055.0</v>
      </c>
      <c r="D4" s="25" t="s">
        <v>61</v>
      </c>
      <c r="E4" s="28"/>
      <c r="F4" s="27">
        <v>517.0</v>
      </c>
      <c r="G4" s="29">
        <v>415.0</v>
      </c>
      <c r="H4" s="6">
        <v>600.0</v>
      </c>
      <c r="I4" s="5">
        <v>388.0</v>
      </c>
      <c r="J4" s="5">
        <v>372.0</v>
      </c>
      <c r="K4" s="5">
        <v>359.0</v>
      </c>
      <c r="L4" s="5">
        <v>727.0</v>
      </c>
      <c r="M4" s="5">
        <v>636.0</v>
      </c>
      <c r="N4" s="5">
        <v>609.0</v>
      </c>
      <c r="O4" s="5">
        <v>582.0</v>
      </c>
      <c r="P4" s="30">
        <v>559.0</v>
      </c>
      <c r="Q4" s="5">
        <v>541.0</v>
      </c>
      <c r="R4" s="5">
        <v>484.0</v>
      </c>
      <c r="S4" s="5">
        <v>471.0</v>
      </c>
      <c r="T4" s="5">
        <v>457.0</v>
      </c>
      <c r="U4" s="5">
        <v>436.0</v>
      </c>
      <c r="V4" s="5">
        <v>401.0</v>
      </c>
      <c r="W4" s="5">
        <v>376.0</v>
      </c>
      <c r="X4" s="5">
        <v>354.0</v>
      </c>
      <c r="Y4" s="5">
        <v>322.0</v>
      </c>
      <c r="Z4" s="5">
        <v>297.0</v>
      </c>
      <c r="AA4" s="5">
        <v>157.0</v>
      </c>
      <c r="AB4" s="5">
        <v>260.0</v>
      </c>
      <c r="AC4" s="5">
        <v>184.0</v>
      </c>
      <c r="AD4" s="5">
        <v>149.0</v>
      </c>
      <c r="AE4" s="5">
        <v>184.0</v>
      </c>
      <c r="AF4" s="5">
        <v>195.0</v>
      </c>
      <c r="AG4" s="5">
        <v>233.0</v>
      </c>
      <c r="AH4" s="5">
        <v>289.0</v>
      </c>
      <c r="AI4" s="5">
        <v>205.0</v>
      </c>
      <c r="AJ4" s="5">
        <v>158.0</v>
      </c>
      <c r="AK4" s="31">
        <v>131.0</v>
      </c>
      <c r="AL4" s="32">
        <v>94.0</v>
      </c>
      <c r="AM4" s="32">
        <v>218.0</v>
      </c>
      <c r="AN4" s="32">
        <v>194.0</v>
      </c>
      <c r="AO4" s="32">
        <v>169.0</v>
      </c>
      <c r="AP4" s="32">
        <v>366.0</v>
      </c>
      <c r="AQ4" s="32">
        <v>349.0</v>
      </c>
      <c r="AR4" s="32">
        <v>275.0</v>
      </c>
      <c r="AS4" s="32">
        <v>180.0</v>
      </c>
      <c r="AT4" s="32">
        <v>162.0</v>
      </c>
      <c r="AU4" s="32">
        <v>129.0</v>
      </c>
      <c r="AV4" s="32">
        <v>104.0</v>
      </c>
      <c r="AW4" s="32">
        <v>203.0</v>
      </c>
      <c r="AX4" s="32">
        <v>170.0</v>
      </c>
      <c r="AY4" s="32">
        <v>196.0</v>
      </c>
      <c r="AZ4" s="32">
        <v>157.0</v>
      </c>
      <c r="BA4" s="32">
        <v>107.0</v>
      </c>
      <c r="BB4" s="32">
        <v>277.0</v>
      </c>
      <c r="BC4" s="32">
        <v>182.0</v>
      </c>
      <c r="BD4" s="32">
        <v>131.0</v>
      </c>
      <c r="BE4" s="32">
        <v>310.0</v>
      </c>
      <c r="BF4" s="32">
        <v>274.0</v>
      </c>
      <c r="BG4" s="32">
        <v>173.0</v>
      </c>
      <c r="BH4" s="32">
        <v>298.0</v>
      </c>
      <c r="BI4" s="32">
        <v>233.0</v>
      </c>
      <c r="BJ4" s="32">
        <v>202.0</v>
      </c>
      <c r="BK4" s="32">
        <v>160.0</v>
      </c>
      <c r="BL4" s="32">
        <v>299.0</v>
      </c>
      <c r="BM4" s="32">
        <v>265.0</v>
      </c>
      <c r="BN4" s="32">
        <v>190.0</v>
      </c>
      <c r="BO4" s="31"/>
    </row>
    <row r="5">
      <c r="A5" s="25" t="s">
        <v>11</v>
      </c>
      <c r="B5" s="26">
        <v>46361.0</v>
      </c>
      <c r="C5" s="26">
        <v>46023.0</v>
      </c>
      <c r="D5" s="25" t="s">
        <v>62</v>
      </c>
      <c r="E5" s="28"/>
      <c r="F5" s="27">
        <v>259.0</v>
      </c>
      <c r="G5" s="29">
        <v>257.0</v>
      </c>
      <c r="H5" s="14">
        <f>321+0</f>
        <v>321</v>
      </c>
      <c r="I5" s="5">
        <v>239.0</v>
      </c>
      <c r="J5" s="5">
        <v>222.0</v>
      </c>
      <c r="K5" s="5">
        <v>197.0</v>
      </c>
      <c r="L5" s="5">
        <v>573.0</v>
      </c>
      <c r="M5" s="5">
        <v>522.0</v>
      </c>
      <c r="N5" s="5">
        <v>513.0</v>
      </c>
      <c r="O5" s="5">
        <v>496.0</v>
      </c>
      <c r="P5" s="30">
        <v>477.0</v>
      </c>
      <c r="Q5" s="5">
        <v>465.0</v>
      </c>
      <c r="R5" s="5">
        <v>423.0</v>
      </c>
      <c r="S5" s="5">
        <v>411.0</v>
      </c>
      <c r="T5" s="5">
        <v>401.0</v>
      </c>
      <c r="U5" s="5">
        <v>388.0</v>
      </c>
      <c r="V5" s="5">
        <v>363.0</v>
      </c>
      <c r="W5" s="5">
        <v>337.0</v>
      </c>
      <c r="X5" s="5">
        <v>319.0</v>
      </c>
      <c r="Y5" s="5">
        <v>298.0</v>
      </c>
      <c r="Z5" s="5">
        <v>274.0</v>
      </c>
      <c r="AA5" s="5">
        <v>123.0</v>
      </c>
      <c r="AB5" s="5">
        <v>208.0</v>
      </c>
      <c r="AC5" s="5">
        <v>110.0</v>
      </c>
      <c r="AD5" s="5">
        <v>169.0</v>
      </c>
      <c r="AE5" s="5">
        <v>127.0</v>
      </c>
      <c r="AF5" s="5">
        <v>82.0</v>
      </c>
      <c r="AG5" s="5">
        <v>26.0</v>
      </c>
      <c r="AH5" s="5">
        <v>118.0</v>
      </c>
      <c r="AI5" s="5">
        <v>91.0</v>
      </c>
      <c r="AJ5" s="5">
        <v>161.0</v>
      </c>
      <c r="AK5" s="31">
        <v>125.0</v>
      </c>
      <c r="AL5" s="32">
        <v>315.0</v>
      </c>
      <c r="AM5" s="32">
        <v>218.0</v>
      </c>
      <c r="AN5" s="32">
        <v>190.0</v>
      </c>
      <c r="AO5" s="32">
        <v>188.0</v>
      </c>
      <c r="AP5" s="32">
        <v>417.0</v>
      </c>
      <c r="AQ5" s="32">
        <v>410.0</v>
      </c>
      <c r="AR5" s="32">
        <v>339.0</v>
      </c>
      <c r="AS5" s="32">
        <v>313.0</v>
      </c>
      <c r="AT5" s="32">
        <v>257.0</v>
      </c>
      <c r="AU5" s="32">
        <v>213.0</v>
      </c>
      <c r="AV5" s="32">
        <v>135.0</v>
      </c>
      <c r="AW5" s="32">
        <v>193.0</v>
      </c>
      <c r="AX5" s="32">
        <v>161.0</v>
      </c>
      <c r="AY5" s="32">
        <v>114.0</v>
      </c>
      <c r="AZ5" s="32">
        <v>194.0</v>
      </c>
      <c r="BA5" s="32">
        <v>135.0</v>
      </c>
      <c r="BB5" s="32">
        <v>262.0</v>
      </c>
      <c r="BC5" s="32">
        <v>186.0</v>
      </c>
      <c r="BD5" s="32">
        <v>90.0</v>
      </c>
      <c r="BE5" s="32">
        <v>274.0</v>
      </c>
      <c r="BF5" s="32">
        <v>240.0</v>
      </c>
      <c r="BG5" s="32">
        <v>142.0</v>
      </c>
      <c r="BH5" s="32">
        <v>327.0</v>
      </c>
      <c r="BI5" s="32">
        <v>281.0</v>
      </c>
      <c r="BJ5" s="32">
        <v>265.0</v>
      </c>
      <c r="BK5" s="32">
        <v>224.0</v>
      </c>
      <c r="BL5" s="32">
        <v>322.0</v>
      </c>
      <c r="BM5" s="32">
        <v>299.0</v>
      </c>
      <c r="BN5" s="32">
        <v>219.0</v>
      </c>
      <c r="BO5" s="31"/>
    </row>
    <row r="6">
      <c r="A6" s="25" t="s">
        <v>12</v>
      </c>
      <c r="B6" s="26">
        <v>46360.0</v>
      </c>
      <c r="C6" s="26">
        <v>46023.0</v>
      </c>
      <c r="D6" s="33" t="s">
        <v>63</v>
      </c>
      <c r="E6" s="27"/>
      <c r="F6" s="28"/>
      <c r="G6" s="29">
        <v>166.0</v>
      </c>
      <c r="H6" s="14">
        <f>0</f>
        <v>0</v>
      </c>
      <c r="I6" s="5">
        <v>166.0</v>
      </c>
      <c r="J6" s="5">
        <v>166.0</v>
      </c>
      <c r="K6" s="5">
        <v>166.0</v>
      </c>
      <c r="L6" s="5">
        <v>166.0</v>
      </c>
      <c r="M6" s="5">
        <v>256.0</v>
      </c>
      <c r="N6" s="5">
        <v>256.0</v>
      </c>
      <c r="O6" s="5">
        <v>256.0</v>
      </c>
      <c r="P6" s="30">
        <v>256.0</v>
      </c>
      <c r="Q6" s="5">
        <v>256.0</v>
      </c>
      <c r="R6" s="5">
        <v>180.0</v>
      </c>
      <c r="S6" s="5">
        <v>240.0</v>
      </c>
      <c r="T6" s="5">
        <v>240.0</v>
      </c>
      <c r="U6" s="5">
        <v>240.0</v>
      </c>
      <c r="V6" s="5">
        <v>240.0</v>
      </c>
      <c r="W6" s="5">
        <v>240.0</v>
      </c>
      <c r="X6" s="5">
        <v>140.0</v>
      </c>
      <c r="Y6" s="5">
        <v>140.0</v>
      </c>
      <c r="Z6" s="5">
        <v>140.0</v>
      </c>
      <c r="AA6" s="5">
        <v>140.0</v>
      </c>
      <c r="AB6" s="5">
        <v>139.0</v>
      </c>
      <c r="AC6" s="5">
        <v>138.0</v>
      </c>
      <c r="AD6" s="5">
        <v>138.0</v>
      </c>
      <c r="AE6" s="5">
        <v>138.0</v>
      </c>
      <c r="AF6" s="5">
        <v>138.0</v>
      </c>
      <c r="AG6" s="5">
        <v>55.0</v>
      </c>
      <c r="AH6" s="5">
        <v>55.0</v>
      </c>
      <c r="AI6" s="5">
        <v>55.0</v>
      </c>
      <c r="AJ6" s="5">
        <v>55.0</v>
      </c>
      <c r="AK6" s="31">
        <v>54.0</v>
      </c>
      <c r="AL6" s="32">
        <v>54.0</v>
      </c>
      <c r="AM6" s="32">
        <v>54.0</v>
      </c>
      <c r="AN6" s="32">
        <v>113.0</v>
      </c>
      <c r="AO6" s="32">
        <v>113.0</v>
      </c>
      <c r="AP6" s="32">
        <v>112.0</v>
      </c>
      <c r="AQ6" s="32">
        <v>112.0</v>
      </c>
      <c r="AR6" s="32">
        <v>110.0</v>
      </c>
      <c r="AS6" s="32">
        <v>109.0</v>
      </c>
      <c r="AT6" s="32">
        <v>108.0</v>
      </c>
      <c r="AU6" s="32">
        <v>107.0</v>
      </c>
      <c r="AV6" s="32">
        <v>106.0</v>
      </c>
      <c r="AW6" s="32">
        <v>105.0</v>
      </c>
      <c r="AX6" s="32">
        <v>105.0</v>
      </c>
      <c r="AY6" s="32">
        <v>101.0</v>
      </c>
      <c r="AZ6" s="32">
        <v>99.0</v>
      </c>
      <c r="BA6" s="32">
        <v>98.0</v>
      </c>
      <c r="BB6" s="32">
        <v>97.0</v>
      </c>
      <c r="BC6" s="32">
        <v>95.0</v>
      </c>
      <c r="BD6" s="32">
        <v>95.0</v>
      </c>
      <c r="BE6" s="32">
        <v>95.0</v>
      </c>
      <c r="BF6" s="32">
        <v>95.0</v>
      </c>
      <c r="BG6" s="32">
        <v>91.0</v>
      </c>
      <c r="BH6" s="32">
        <v>91.0</v>
      </c>
      <c r="BI6" s="32">
        <v>91.0</v>
      </c>
      <c r="BJ6" s="32">
        <v>91.0</v>
      </c>
      <c r="BK6" s="32">
        <v>90.0</v>
      </c>
      <c r="BL6" s="32">
        <v>87.0</v>
      </c>
      <c r="BM6" s="32">
        <v>87.0</v>
      </c>
      <c r="BN6" s="32">
        <v>85.0</v>
      </c>
      <c r="BO6" s="31"/>
    </row>
    <row r="7">
      <c r="A7" s="25" t="s">
        <v>13</v>
      </c>
      <c r="B7" s="25" t="s">
        <v>64</v>
      </c>
      <c r="C7" s="26">
        <v>46023.0</v>
      </c>
      <c r="D7" s="25" t="s">
        <v>62</v>
      </c>
      <c r="E7" s="28"/>
      <c r="F7" s="27">
        <v>259.0</v>
      </c>
      <c r="G7" s="29">
        <v>246.0</v>
      </c>
      <c r="H7" s="6">
        <v>300.0</v>
      </c>
      <c r="I7" s="5">
        <v>242.0</v>
      </c>
      <c r="J7" s="5">
        <v>237.0</v>
      </c>
      <c r="K7" s="5">
        <v>237.0</v>
      </c>
      <c r="L7" s="5">
        <v>234.0</v>
      </c>
      <c r="M7" s="5">
        <v>382.0</v>
      </c>
      <c r="N7" s="5">
        <v>382.0</v>
      </c>
      <c r="O7" s="5">
        <v>382.0</v>
      </c>
      <c r="P7" s="30">
        <v>381.0</v>
      </c>
      <c r="Q7" s="5">
        <v>381.0</v>
      </c>
      <c r="R7" s="5">
        <v>288.0</v>
      </c>
      <c r="S7" s="5">
        <v>286.0</v>
      </c>
      <c r="T7" s="5">
        <v>278.0</v>
      </c>
      <c r="U7" s="5">
        <v>275.0</v>
      </c>
      <c r="V7" s="5">
        <v>265.0</v>
      </c>
      <c r="W7" s="5">
        <v>259.0</v>
      </c>
      <c r="X7" s="5">
        <v>256.0</v>
      </c>
      <c r="Y7" s="5">
        <v>250.0</v>
      </c>
      <c r="Z7" s="5">
        <v>240.0</v>
      </c>
      <c r="AA7" s="5">
        <v>218.0</v>
      </c>
      <c r="AB7" s="5">
        <v>214.0</v>
      </c>
      <c r="AC7" s="5">
        <v>191.0</v>
      </c>
      <c r="AD7" s="5">
        <v>186.0</v>
      </c>
      <c r="AE7" s="5">
        <v>178.0</v>
      </c>
      <c r="AF7" s="5">
        <v>172.0</v>
      </c>
      <c r="AG7" s="5">
        <v>99.0</v>
      </c>
      <c r="AH7" s="5">
        <v>83.0</v>
      </c>
      <c r="AI7" s="5">
        <v>75.0</v>
      </c>
      <c r="AJ7" s="5">
        <v>68.0</v>
      </c>
      <c r="AK7" s="31">
        <v>60.0</v>
      </c>
      <c r="AL7" s="32">
        <v>52.0</v>
      </c>
      <c r="AM7" s="32">
        <v>36.0</v>
      </c>
      <c r="AN7" s="32">
        <v>181.0</v>
      </c>
      <c r="AO7" s="32">
        <v>171.0</v>
      </c>
      <c r="AP7" s="32">
        <v>168.0</v>
      </c>
      <c r="AQ7" s="32">
        <v>157.0</v>
      </c>
      <c r="AR7" s="32">
        <v>146.0</v>
      </c>
      <c r="AS7" s="32">
        <v>143.0</v>
      </c>
      <c r="AT7" s="32">
        <v>133.0</v>
      </c>
      <c r="AU7" s="32">
        <v>126.0</v>
      </c>
      <c r="AV7" s="32">
        <v>117.0</v>
      </c>
      <c r="AW7" s="32">
        <v>190.0</v>
      </c>
      <c r="AX7" s="32">
        <v>186.0</v>
      </c>
      <c r="AY7" s="32">
        <v>152.0</v>
      </c>
      <c r="AZ7" s="32">
        <v>146.0</v>
      </c>
      <c r="BA7" s="32">
        <v>140.0</v>
      </c>
      <c r="BB7" s="32">
        <v>129.0</v>
      </c>
      <c r="BC7" s="32">
        <v>105.0</v>
      </c>
      <c r="BD7" s="32">
        <v>98.0</v>
      </c>
      <c r="BE7" s="32">
        <v>93.0</v>
      </c>
      <c r="BF7" s="32">
        <v>85.0</v>
      </c>
      <c r="BG7" s="32">
        <v>69.0</v>
      </c>
      <c r="BH7" s="32">
        <v>139.0</v>
      </c>
      <c r="BI7" s="32">
        <v>131.0</v>
      </c>
      <c r="BJ7" s="32">
        <v>126.0</v>
      </c>
      <c r="BK7" s="32">
        <v>126.0</v>
      </c>
      <c r="BL7" s="32">
        <v>84.0</v>
      </c>
      <c r="BM7" s="32">
        <v>75.0</v>
      </c>
      <c r="BN7" s="32">
        <v>136.0</v>
      </c>
      <c r="BO7" s="31"/>
    </row>
    <row r="8">
      <c r="A8" s="25" t="s">
        <v>14</v>
      </c>
      <c r="B8" s="26">
        <v>46238.0</v>
      </c>
      <c r="C8" s="26">
        <v>46023.0</v>
      </c>
      <c r="D8" s="34">
        <v>46308.0</v>
      </c>
      <c r="E8" s="27">
        <v>610.0</v>
      </c>
      <c r="F8" s="28"/>
      <c r="G8" s="29">
        <v>423.0</v>
      </c>
      <c r="H8" s="14">
        <f>623</f>
        <v>623</v>
      </c>
      <c r="I8" s="5">
        <v>423.0</v>
      </c>
      <c r="J8" s="5">
        <v>378.0</v>
      </c>
      <c r="K8" s="5">
        <v>365.0</v>
      </c>
      <c r="L8" s="5">
        <v>362.0</v>
      </c>
      <c r="M8" s="5">
        <v>352.0</v>
      </c>
      <c r="N8" s="5">
        <v>347.0</v>
      </c>
      <c r="O8" s="5">
        <v>340.0</v>
      </c>
      <c r="P8" s="30">
        <v>337.0</v>
      </c>
      <c r="Q8" s="5">
        <v>335.0</v>
      </c>
      <c r="R8" s="5">
        <v>301.0</v>
      </c>
      <c r="S8" s="5">
        <v>297.0</v>
      </c>
      <c r="T8" s="5">
        <v>292.0</v>
      </c>
      <c r="U8" s="5">
        <v>284.0</v>
      </c>
      <c r="V8" s="5">
        <v>273.0</v>
      </c>
      <c r="W8" s="5">
        <v>266.0</v>
      </c>
      <c r="X8" s="5">
        <v>262.0</v>
      </c>
      <c r="Y8" s="5">
        <v>258.0</v>
      </c>
      <c r="Z8" s="5">
        <v>252.0</v>
      </c>
      <c r="AA8" s="5">
        <v>209.0</v>
      </c>
      <c r="AB8" s="5">
        <v>202.0</v>
      </c>
      <c r="AC8" s="5">
        <v>172.0</v>
      </c>
      <c r="AD8" s="5">
        <v>162.0</v>
      </c>
      <c r="AE8" s="5">
        <v>151.0</v>
      </c>
      <c r="AF8" s="5">
        <v>148.0</v>
      </c>
      <c r="AG8" s="5">
        <v>145.0</v>
      </c>
      <c r="AH8" s="5">
        <v>107.0</v>
      </c>
      <c r="AI8" s="5">
        <v>101.0</v>
      </c>
      <c r="AJ8" s="5">
        <v>93.0</v>
      </c>
      <c r="AK8" s="31">
        <v>85.0</v>
      </c>
      <c r="AL8" s="32">
        <v>80.0</v>
      </c>
      <c r="AM8" s="32">
        <v>79.0</v>
      </c>
      <c r="AN8" s="32">
        <v>77.0</v>
      </c>
      <c r="AO8" s="32">
        <v>75.0</v>
      </c>
      <c r="AP8" s="32">
        <v>285.0</v>
      </c>
      <c r="AQ8" s="32">
        <v>282.0</v>
      </c>
      <c r="AR8" s="32">
        <v>275.0</v>
      </c>
      <c r="AS8" s="32">
        <v>272.0</v>
      </c>
      <c r="AT8" s="32">
        <v>277.0</v>
      </c>
      <c r="AU8" s="32">
        <v>273.0</v>
      </c>
      <c r="AV8" s="32">
        <v>267.0</v>
      </c>
      <c r="AW8" s="32">
        <v>254.0</v>
      </c>
      <c r="AX8" s="32">
        <v>249.0</v>
      </c>
      <c r="AY8" s="32">
        <v>75.0</v>
      </c>
      <c r="AZ8" s="32">
        <v>70.0</v>
      </c>
      <c r="BA8" s="32">
        <v>66.0</v>
      </c>
      <c r="BB8" s="32">
        <v>59.0</v>
      </c>
      <c r="BC8" s="32">
        <v>57.0</v>
      </c>
      <c r="BD8" s="32">
        <v>52.0</v>
      </c>
      <c r="BE8" s="32">
        <v>51.0</v>
      </c>
      <c r="BF8" s="32">
        <v>47.0</v>
      </c>
      <c r="BG8" s="32">
        <v>44.0</v>
      </c>
      <c r="BH8" s="32">
        <v>42.0</v>
      </c>
      <c r="BI8" s="32">
        <v>90.0</v>
      </c>
      <c r="BJ8" s="32">
        <v>96.0</v>
      </c>
      <c r="BK8" s="32">
        <v>92.0</v>
      </c>
      <c r="BL8" s="32">
        <v>89.0</v>
      </c>
      <c r="BM8" s="32">
        <v>86.0</v>
      </c>
      <c r="BN8" s="31"/>
      <c r="BO8" s="31"/>
    </row>
    <row r="9">
      <c r="A9" s="25" t="s">
        <v>15</v>
      </c>
      <c r="B9" s="26">
        <v>46237.0</v>
      </c>
      <c r="C9" s="26">
        <v>46023.0</v>
      </c>
      <c r="D9" s="26">
        <v>46305.0</v>
      </c>
      <c r="E9" s="28"/>
      <c r="F9" s="28"/>
      <c r="G9" s="29">
        <v>10.0</v>
      </c>
      <c r="H9" s="6">
        <v>10.0</v>
      </c>
      <c r="I9" s="5">
        <v>10.0</v>
      </c>
      <c r="J9" s="5">
        <v>10.0</v>
      </c>
      <c r="K9" s="5">
        <v>10.0</v>
      </c>
      <c r="L9" s="5">
        <v>20.0</v>
      </c>
      <c r="M9" s="5">
        <v>20.0</v>
      </c>
      <c r="N9" s="5">
        <v>20.0</v>
      </c>
      <c r="O9" s="5">
        <v>20.0</v>
      </c>
      <c r="P9" s="30">
        <v>20.0</v>
      </c>
      <c r="Q9" s="5">
        <v>20.0</v>
      </c>
      <c r="R9" s="5">
        <v>20.0</v>
      </c>
      <c r="S9" s="5">
        <v>10.0</v>
      </c>
      <c r="T9" s="5">
        <v>10.0</v>
      </c>
      <c r="U9" s="5">
        <v>10.0</v>
      </c>
      <c r="V9" s="5">
        <v>10.0</v>
      </c>
      <c r="W9" s="5">
        <v>9.0</v>
      </c>
      <c r="X9" s="5">
        <v>9.0</v>
      </c>
      <c r="Y9" s="5">
        <v>9.0</v>
      </c>
      <c r="Z9" s="5">
        <v>9.0</v>
      </c>
      <c r="AA9" s="5">
        <v>9.0</v>
      </c>
      <c r="AB9" s="5">
        <v>9.0</v>
      </c>
      <c r="AC9" s="5">
        <v>9.0</v>
      </c>
      <c r="AD9" s="5">
        <v>9.0</v>
      </c>
      <c r="AE9" s="5">
        <v>9.0</v>
      </c>
      <c r="AF9" s="5">
        <v>9.0</v>
      </c>
      <c r="AG9" s="5">
        <v>9.0</v>
      </c>
      <c r="AH9" s="5">
        <v>9.0</v>
      </c>
      <c r="AI9" s="5">
        <v>9.0</v>
      </c>
      <c r="AJ9" s="5">
        <v>9.0</v>
      </c>
      <c r="AK9" s="31">
        <v>9.0</v>
      </c>
      <c r="AL9" s="32">
        <v>9.0</v>
      </c>
      <c r="AM9" s="32">
        <v>9.0</v>
      </c>
      <c r="AN9" s="32">
        <v>9.0</v>
      </c>
      <c r="AO9" s="32">
        <v>9.0</v>
      </c>
      <c r="AP9" s="32">
        <v>9.0</v>
      </c>
      <c r="AQ9" s="32">
        <v>9.0</v>
      </c>
      <c r="AR9" s="32">
        <v>9.0</v>
      </c>
      <c r="AS9" s="32">
        <v>9.0</v>
      </c>
      <c r="AT9" s="32">
        <v>9.0</v>
      </c>
      <c r="AU9" s="32">
        <v>9.0</v>
      </c>
      <c r="AV9" s="32">
        <v>9.0</v>
      </c>
      <c r="AW9" s="32">
        <v>9.0</v>
      </c>
      <c r="AX9" s="32">
        <v>9.0</v>
      </c>
      <c r="AY9" s="32">
        <v>8.0</v>
      </c>
      <c r="AZ9" s="32">
        <v>8.0</v>
      </c>
      <c r="BA9" s="32">
        <v>8.0</v>
      </c>
      <c r="BB9" s="32">
        <v>8.0</v>
      </c>
      <c r="BC9" s="32">
        <v>8.0</v>
      </c>
      <c r="BD9" s="32">
        <v>8.0</v>
      </c>
      <c r="BE9" s="32">
        <v>8.0</v>
      </c>
      <c r="BF9" s="32">
        <v>8.0</v>
      </c>
      <c r="BG9" s="32">
        <v>8.0</v>
      </c>
      <c r="BH9" s="32">
        <v>8.0</v>
      </c>
      <c r="BI9" s="32">
        <v>8.0</v>
      </c>
      <c r="BJ9" s="32">
        <v>8.0</v>
      </c>
      <c r="BK9" s="32">
        <v>8.0</v>
      </c>
      <c r="BL9" s="32">
        <v>8.0</v>
      </c>
      <c r="BM9" s="32">
        <v>8.0</v>
      </c>
      <c r="BN9" s="32">
        <v>8.0</v>
      </c>
      <c r="BO9" s="31"/>
    </row>
    <row r="10">
      <c r="A10" s="25" t="s">
        <v>17</v>
      </c>
      <c r="B10" s="25" t="s">
        <v>65</v>
      </c>
      <c r="C10" s="26">
        <v>46055.0</v>
      </c>
      <c r="D10" s="25" t="s">
        <v>66</v>
      </c>
      <c r="E10" s="28"/>
      <c r="F10" s="28"/>
      <c r="G10" s="29">
        <v>102.0</v>
      </c>
      <c r="H10" s="6">
        <v>70.0</v>
      </c>
      <c r="I10" s="5">
        <v>97.0</v>
      </c>
      <c r="J10" s="5">
        <v>94.0</v>
      </c>
      <c r="K10" s="5">
        <v>91.0</v>
      </c>
      <c r="L10" s="5">
        <v>73.0</v>
      </c>
      <c r="M10" s="5">
        <v>72.0</v>
      </c>
      <c r="N10" s="5">
        <v>75.0</v>
      </c>
      <c r="O10" s="5">
        <v>75.0</v>
      </c>
      <c r="P10" s="30">
        <v>72.0</v>
      </c>
      <c r="Q10" s="5">
        <v>67.0</v>
      </c>
      <c r="R10" s="5">
        <v>89.0</v>
      </c>
      <c r="S10" s="5">
        <v>89.0</v>
      </c>
      <c r="T10" s="5">
        <v>89.0</v>
      </c>
      <c r="U10" s="5">
        <v>81.0</v>
      </c>
      <c r="V10" s="5">
        <v>65.0</v>
      </c>
      <c r="W10" s="5">
        <v>65.0</v>
      </c>
      <c r="X10" s="5">
        <v>62.0</v>
      </c>
      <c r="Y10" s="5">
        <v>59.0</v>
      </c>
      <c r="Z10" s="5">
        <v>116.0</v>
      </c>
      <c r="AA10" s="5">
        <v>49.0</v>
      </c>
      <c r="AB10" s="5">
        <v>104.0</v>
      </c>
      <c r="AC10" s="5">
        <v>98.0</v>
      </c>
      <c r="AD10" s="5">
        <v>96.0</v>
      </c>
      <c r="AE10" s="5">
        <v>90.0</v>
      </c>
      <c r="AF10" s="5">
        <v>90.0</v>
      </c>
      <c r="AG10" s="5">
        <v>85.0</v>
      </c>
      <c r="AH10" s="5">
        <v>86.0</v>
      </c>
      <c r="AI10" s="5">
        <v>80.0</v>
      </c>
      <c r="AJ10" s="5">
        <v>43.0</v>
      </c>
      <c r="AK10" s="31">
        <v>45.0</v>
      </c>
      <c r="AL10" s="32">
        <v>36.0</v>
      </c>
      <c r="AM10" s="32">
        <v>85.0</v>
      </c>
      <c r="AN10" s="32">
        <v>85.0</v>
      </c>
      <c r="AO10" s="32">
        <v>84.0</v>
      </c>
      <c r="AP10" s="32">
        <v>81.0</v>
      </c>
      <c r="AQ10" s="32">
        <v>75.0</v>
      </c>
      <c r="AR10" s="32">
        <v>66.0</v>
      </c>
      <c r="AS10" s="32">
        <v>64.0</v>
      </c>
      <c r="AT10" s="32">
        <v>60.0</v>
      </c>
      <c r="AU10" s="32">
        <v>54.0</v>
      </c>
      <c r="AV10" s="32">
        <v>82.0</v>
      </c>
      <c r="AW10" s="32">
        <v>75.0</v>
      </c>
      <c r="AX10" s="32">
        <v>75.0</v>
      </c>
      <c r="AY10" s="32">
        <v>64.0</v>
      </c>
      <c r="AZ10" s="32">
        <v>64.0</v>
      </c>
      <c r="BA10" s="32">
        <v>62.0</v>
      </c>
      <c r="BB10" s="32">
        <v>89.0</v>
      </c>
      <c r="BC10" s="32">
        <v>51.0</v>
      </c>
      <c r="BD10" s="32">
        <v>51.0</v>
      </c>
      <c r="BE10" s="32">
        <v>49.0</v>
      </c>
      <c r="BF10" s="32">
        <v>44.0</v>
      </c>
      <c r="BG10" s="32">
        <v>38.0</v>
      </c>
      <c r="BH10" s="32">
        <v>38.0</v>
      </c>
      <c r="BI10" s="32">
        <v>37.0</v>
      </c>
      <c r="BJ10" s="32">
        <v>30.0</v>
      </c>
      <c r="BK10" s="32">
        <v>29.0</v>
      </c>
      <c r="BL10" s="32">
        <v>19.0</v>
      </c>
      <c r="BM10" s="32">
        <v>73.0</v>
      </c>
      <c r="BN10" s="32">
        <v>69.0</v>
      </c>
      <c r="BO10" s="31"/>
    </row>
    <row r="11">
      <c r="A11" s="25" t="s">
        <v>18</v>
      </c>
      <c r="B11" s="25" t="s">
        <v>67</v>
      </c>
      <c r="C11" s="26">
        <v>46054.0</v>
      </c>
      <c r="D11" s="25" t="s">
        <v>68</v>
      </c>
      <c r="E11" s="28"/>
      <c r="F11" s="28"/>
      <c r="G11" s="29">
        <v>65.0</v>
      </c>
      <c r="H11" s="6">
        <v>55.0</v>
      </c>
      <c r="I11" s="5">
        <v>63.0</v>
      </c>
      <c r="J11" s="5">
        <v>61.0</v>
      </c>
      <c r="K11" s="5">
        <v>60.0</v>
      </c>
      <c r="L11" s="5">
        <v>58.0</v>
      </c>
      <c r="M11" s="5">
        <v>54.0</v>
      </c>
      <c r="N11" s="5">
        <v>53.0</v>
      </c>
      <c r="O11" s="5">
        <v>52.0</v>
      </c>
      <c r="P11" s="30">
        <v>52.0</v>
      </c>
      <c r="Q11" s="5">
        <v>49.0</v>
      </c>
      <c r="R11" s="5">
        <v>73.0</v>
      </c>
      <c r="S11" s="5">
        <v>73.0</v>
      </c>
      <c r="T11" s="5">
        <v>71.0</v>
      </c>
      <c r="U11" s="5">
        <v>73.0</v>
      </c>
      <c r="V11" s="5">
        <v>68.0</v>
      </c>
      <c r="W11" s="5">
        <v>67.0</v>
      </c>
      <c r="X11" s="5">
        <v>67.0</v>
      </c>
      <c r="Y11" s="5">
        <v>67.0</v>
      </c>
      <c r="Z11" s="5">
        <v>67.0</v>
      </c>
      <c r="AA11" s="5">
        <v>63.0</v>
      </c>
      <c r="AB11" s="5">
        <v>63.0</v>
      </c>
      <c r="AC11" s="5">
        <v>59.0</v>
      </c>
      <c r="AD11" s="5">
        <v>59.0</v>
      </c>
      <c r="AE11" s="5">
        <v>57.0</v>
      </c>
      <c r="AF11" s="5">
        <v>57.0</v>
      </c>
      <c r="AG11" s="5">
        <v>57.0</v>
      </c>
      <c r="AH11" s="5">
        <v>57.0</v>
      </c>
      <c r="AI11" s="5">
        <v>55.0</v>
      </c>
      <c r="AJ11" s="5">
        <v>55.0</v>
      </c>
      <c r="AK11" s="31">
        <v>53.0</v>
      </c>
      <c r="AL11" s="32">
        <v>53.0</v>
      </c>
      <c r="AM11" s="32">
        <v>46.0</v>
      </c>
      <c r="AN11" s="32">
        <v>46.0</v>
      </c>
      <c r="AO11" s="32">
        <v>46.0</v>
      </c>
      <c r="AP11" s="32">
        <v>46.0</v>
      </c>
      <c r="AQ11" s="32">
        <v>43.0</v>
      </c>
      <c r="AR11" s="32">
        <v>34.0</v>
      </c>
      <c r="AS11" s="32">
        <v>34.0</v>
      </c>
      <c r="AT11" s="32">
        <v>33.0</v>
      </c>
      <c r="AU11" s="32">
        <v>33.0</v>
      </c>
      <c r="AV11" s="32">
        <v>62.0</v>
      </c>
      <c r="AW11" s="32">
        <v>56.0</v>
      </c>
      <c r="AX11" s="32">
        <v>56.0</v>
      </c>
      <c r="AY11" s="32">
        <v>50.0</v>
      </c>
      <c r="AZ11" s="32">
        <v>48.0</v>
      </c>
      <c r="BA11" s="32">
        <v>48.0</v>
      </c>
      <c r="BB11" s="32">
        <v>46.0</v>
      </c>
      <c r="BC11" s="32">
        <v>44.0</v>
      </c>
      <c r="BD11" s="32">
        <v>42.0</v>
      </c>
      <c r="BE11" s="32">
        <v>38.0</v>
      </c>
      <c r="BF11" s="32">
        <v>33.0</v>
      </c>
      <c r="BG11" s="32">
        <v>27.0</v>
      </c>
      <c r="BH11" s="32">
        <v>24.0</v>
      </c>
      <c r="BI11" s="32">
        <v>24.0</v>
      </c>
      <c r="BJ11" s="32">
        <v>24.0</v>
      </c>
      <c r="BK11" s="32">
        <v>22.0</v>
      </c>
      <c r="BL11" s="32">
        <v>18.0</v>
      </c>
      <c r="BM11" s="32">
        <v>46.0</v>
      </c>
      <c r="BN11" s="32">
        <v>43.0</v>
      </c>
      <c r="BO11" s="31"/>
    </row>
    <row r="12">
      <c r="A12" s="25" t="s">
        <v>69</v>
      </c>
      <c r="B12" s="25" t="s">
        <v>70</v>
      </c>
      <c r="C12" s="28"/>
      <c r="D12" s="25" t="s">
        <v>71</v>
      </c>
      <c r="E12" s="28"/>
      <c r="F12" s="28"/>
      <c r="G12" s="35"/>
      <c r="H12" s="6">
        <v>0.0</v>
      </c>
      <c r="P12" s="30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  <c r="BH12" s="36"/>
      <c r="BI12" s="36"/>
      <c r="BJ12" s="36"/>
      <c r="BK12" s="36"/>
      <c r="BL12" s="36"/>
      <c r="BM12" s="36"/>
      <c r="BN12" s="36"/>
      <c r="BO12" s="36"/>
    </row>
    <row r="13">
      <c r="A13" s="25" t="s">
        <v>19</v>
      </c>
      <c r="B13" s="25" t="s">
        <v>65</v>
      </c>
      <c r="C13" s="26">
        <v>46054.0</v>
      </c>
      <c r="D13" s="25" t="s">
        <v>72</v>
      </c>
      <c r="E13" s="28"/>
      <c r="F13" s="28"/>
      <c r="G13" s="29">
        <v>131.0</v>
      </c>
      <c r="H13" s="6">
        <v>115.0</v>
      </c>
      <c r="I13" s="5">
        <v>114.0</v>
      </c>
      <c r="J13" s="5">
        <v>99.0</v>
      </c>
      <c r="K13" s="5">
        <v>85.0</v>
      </c>
      <c r="L13" s="5">
        <v>66.0</v>
      </c>
      <c r="M13" s="5">
        <v>25.0</v>
      </c>
      <c r="N13" s="5">
        <v>21.0</v>
      </c>
      <c r="O13" s="5">
        <v>67.0</v>
      </c>
      <c r="P13" s="30">
        <v>57.0</v>
      </c>
      <c r="Q13" s="5">
        <v>23.0</v>
      </c>
      <c r="R13" s="5">
        <v>92.0</v>
      </c>
      <c r="S13" s="5">
        <v>87.0</v>
      </c>
      <c r="T13" s="5">
        <v>70.0</v>
      </c>
      <c r="U13" s="5">
        <v>56.0</v>
      </c>
      <c r="V13" s="5">
        <v>131.0</v>
      </c>
      <c r="W13" s="5">
        <v>128.0</v>
      </c>
      <c r="X13" s="5">
        <v>114.0</v>
      </c>
      <c r="Y13" s="5">
        <v>105.0</v>
      </c>
      <c r="Z13" s="5">
        <v>191.0</v>
      </c>
      <c r="AA13" s="5">
        <v>99.0</v>
      </c>
      <c r="AB13" s="5">
        <v>114.0</v>
      </c>
      <c r="AC13" s="5">
        <v>82.0</v>
      </c>
      <c r="AD13" s="5">
        <v>64.0</v>
      </c>
      <c r="AE13" s="5">
        <v>37.0</v>
      </c>
      <c r="AF13" s="5">
        <v>25.0</v>
      </c>
      <c r="AG13" s="5">
        <v>61.0</v>
      </c>
      <c r="AH13" s="5">
        <v>77.0</v>
      </c>
      <c r="AI13" s="5">
        <v>51.0</v>
      </c>
      <c r="AJ13" s="5">
        <v>62.0</v>
      </c>
      <c r="AK13" s="31">
        <v>53.0</v>
      </c>
      <c r="AL13" s="32">
        <v>39.0</v>
      </c>
      <c r="AM13" s="32">
        <v>184.0</v>
      </c>
      <c r="AN13" s="32">
        <v>168.0</v>
      </c>
      <c r="AO13" s="32">
        <v>159.0</v>
      </c>
      <c r="AP13" s="32">
        <v>149.0</v>
      </c>
      <c r="AQ13" s="32">
        <v>139.0</v>
      </c>
      <c r="AR13" s="32">
        <v>90.0</v>
      </c>
      <c r="AS13" s="32">
        <v>78.0</v>
      </c>
      <c r="AT13" s="32">
        <v>61.0</v>
      </c>
      <c r="AU13" s="32">
        <v>47.0</v>
      </c>
      <c r="AV13" s="32">
        <v>100.0</v>
      </c>
      <c r="AW13" s="32">
        <v>139.0</v>
      </c>
      <c r="AX13" s="32">
        <v>131.0</v>
      </c>
      <c r="AY13" s="32">
        <v>155.0</v>
      </c>
      <c r="AZ13" s="32">
        <v>140.0</v>
      </c>
      <c r="BA13" s="32">
        <v>130.0</v>
      </c>
      <c r="BB13" s="32">
        <v>190.0</v>
      </c>
      <c r="BC13" s="32">
        <v>125.0</v>
      </c>
      <c r="BD13" s="32">
        <v>122.0</v>
      </c>
      <c r="BE13" s="32">
        <v>102.0</v>
      </c>
      <c r="BF13" s="32">
        <v>96.0</v>
      </c>
      <c r="BG13" s="32">
        <v>138.0</v>
      </c>
      <c r="BH13" s="32">
        <v>125.0</v>
      </c>
      <c r="BI13" s="32">
        <v>125.0</v>
      </c>
      <c r="BJ13" s="32">
        <v>109.0</v>
      </c>
      <c r="BK13" s="32">
        <v>96.0</v>
      </c>
      <c r="BL13" s="32">
        <v>54.0</v>
      </c>
      <c r="BM13" s="32">
        <v>159.0</v>
      </c>
      <c r="BN13" s="32">
        <v>138.0</v>
      </c>
      <c r="BO13" s="31"/>
    </row>
    <row r="14">
      <c r="A14" s="25" t="s">
        <v>73</v>
      </c>
      <c r="B14" s="25" t="s">
        <v>70</v>
      </c>
      <c r="C14" s="25" t="s">
        <v>74</v>
      </c>
      <c r="D14" s="25" t="s">
        <v>75</v>
      </c>
      <c r="E14" s="28"/>
      <c r="F14" s="28"/>
      <c r="G14" s="35"/>
      <c r="H14" s="6">
        <v>0.0</v>
      </c>
      <c r="P14" s="30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</row>
    <row r="15">
      <c r="A15" s="25" t="s">
        <v>20</v>
      </c>
      <c r="B15" s="26">
        <v>46082.0</v>
      </c>
      <c r="C15" s="25" t="s">
        <v>76</v>
      </c>
      <c r="D15" s="25" t="s">
        <v>74</v>
      </c>
      <c r="E15" s="28"/>
      <c r="F15" s="28"/>
      <c r="G15" s="35"/>
      <c r="H15" s="6">
        <v>0.0</v>
      </c>
      <c r="P15" s="30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</row>
    <row r="16">
      <c r="A16" s="25" t="s">
        <v>26</v>
      </c>
      <c r="B16" s="26">
        <v>46082.0</v>
      </c>
      <c r="C16" s="25" t="s">
        <v>76</v>
      </c>
      <c r="D16" s="25" t="s">
        <v>77</v>
      </c>
      <c r="E16" s="27">
        <v>30.0</v>
      </c>
      <c r="F16" s="28"/>
      <c r="G16" s="29">
        <v>35.0</v>
      </c>
      <c r="H16" s="6">
        <v>35.0</v>
      </c>
      <c r="I16" s="5">
        <v>35.0</v>
      </c>
      <c r="J16" s="5">
        <v>35.0</v>
      </c>
      <c r="K16" s="5">
        <v>35.0</v>
      </c>
      <c r="L16" s="5">
        <v>35.0</v>
      </c>
      <c r="M16" s="5">
        <v>30.0</v>
      </c>
      <c r="N16" s="5">
        <v>30.0</v>
      </c>
      <c r="O16" s="5">
        <v>60.0</v>
      </c>
      <c r="P16" s="30">
        <v>60.0</v>
      </c>
      <c r="Q16" s="5">
        <v>60.0</v>
      </c>
      <c r="R16" s="5">
        <v>60.0</v>
      </c>
      <c r="S16" s="5">
        <v>60.0</v>
      </c>
      <c r="T16" s="5">
        <v>60.0</v>
      </c>
      <c r="U16" s="5">
        <v>60.0</v>
      </c>
      <c r="V16" s="5">
        <v>60.0</v>
      </c>
      <c r="W16" s="5">
        <v>60.0</v>
      </c>
      <c r="X16" s="5">
        <v>60.0</v>
      </c>
      <c r="Y16" s="5">
        <v>60.0</v>
      </c>
      <c r="Z16" s="5">
        <v>60.0</v>
      </c>
      <c r="AA16" s="5">
        <v>60.0</v>
      </c>
      <c r="AB16" s="5">
        <v>60.0</v>
      </c>
      <c r="AC16" s="5">
        <v>60.0</v>
      </c>
      <c r="AD16" s="5">
        <v>60.0</v>
      </c>
      <c r="AE16" s="5">
        <v>60.0</v>
      </c>
      <c r="AF16" s="5">
        <v>60.0</v>
      </c>
      <c r="AG16" s="5">
        <v>60.0</v>
      </c>
      <c r="AH16" s="5">
        <v>60.0</v>
      </c>
      <c r="AI16" s="5">
        <v>60.0</v>
      </c>
      <c r="AJ16" s="5">
        <v>60.0</v>
      </c>
      <c r="AK16" s="31">
        <v>60.0</v>
      </c>
      <c r="AL16" s="32">
        <v>60.0</v>
      </c>
      <c r="AM16" s="32">
        <v>60.0</v>
      </c>
      <c r="AN16" s="32">
        <v>60.0</v>
      </c>
      <c r="AO16" s="32">
        <v>60.0</v>
      </c>
      <c r="AP16" s="32">
        <v>60.0</v>
      </c>
      <c r="AQ16" s="32">
        <v>60.0</v>
      </c>
      <c r="AR16" s="32">
        <v>60.0</v>
      </c>
      <c r="AS16" s="32">
        <v>60.0</v>
      </c>
      <c r="AT16" s="32">
        <v>60.0</v>
      </c>
      <c r="AU16" s="32">
        <v>60.0</v>
      </c>
      <c r="AV16" s="32">
        <v>60.0</v>
      </c>
      <c r="AW16" s="32">
        <v>60.0</v>
      </c>
      <c r="AX16" s="32">
        <v>60.0</v>
      </c>
      <c r="AY16" s="32">
        <v>60.0</v>
      </c>
      <c r="AZ16" s="32">
        <v>60.0</v>
      </c>
      <c r="BA16" s="32">
        <v>60.0</v>
      </c>
      <c r="BB16" s="32">
        <v>60.0</v>
      </c>
      <c r="BC16" s="32">
        <v>60.0</v>
      </c>
      <c r="BD16" s="32">
        <v>60.0</v>
      </c>
      <c r="BE16" s="32">
        <v>60.0</v>
      </c>
      <c r="BF16" s="32">
        <v>60.0</v>
      </c>
      <c r="BG16" s="32">
        <v>60.0</v>
      </c>
      <c r="BH16" s="32">
        <v>60.0</v>
      </c>
      <c r="BI16" s="32">
        <v>60.0</v>
      </c>
      <c r="BJ16" s="32">
        <v>60.0</v>
      </c>
      <c r="BK16" s="32">
        <v>60.0</v>
      </c>
      <c r="BL16" s="32">
        <v>60.0</v>
      </c>
      <c r="BM16" s="32">
        <v>60.0</v>
      </c>
      <c r="BN16" s="32">
        <v>60.0</v>
      </c>
      <c r="BO16" s="31"/>
    </row>
    <row r="17">
      <c r="A17" s="25" t="s">
        <v>27</v>
      </c>
      <c r="B17" s="26">
        <v>46082.0</v>
      </c>
      <c r="C17" s="25" t="s">
        <v>76</v>
      </c>
      <c r="D17" s="25" t="s">
        <v>74</v>
      </c>
      <c r="E17" s="27">
        <v>30.0</v>
      </c>
      <c r="F17" s="28"/>
      <c r="G17" s="35"/>
      <c r="H17" s="6">
        <v>30.0</v>
      </c>
      <c r="P17" s="30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  <c r="BH17" s="36"/>
      <c r="BI17" s="36"/>
      <c r="BJ17" s="36"/>
      <c r="BK17" s="36"/>
      <c r="BL17" s="36"/>
      <c r="BM17" s="36"/>
      <c r="BN17" s="36"/>
      <c r="BO17" s="36"/>
    </row>
    <row r="18">
      <c r="A18" s="25" t="s">
        <v>29</v>
      </c>
      <c r="B18" s="26">
        <v>46082.0</v>
      </c>
      <c r="C18" s="25" t="s">
        <v>76</v>
      </c>
      <c r="D18" s="25" t="s">
        <v>74</v>
      </c>
      <c r="E18" s="28"/>
      <c r="F18" s="28"/>
      <c r="G18" s="35"/>
      <c r="H18" s="6">
        <v>0.0</v>
      </c>
      <c r="P18" s="30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  <c r="BH18" s="36"/>
      <c r="BI18" s="36"/>
      <c r="BJ18" s="36"/>
      <c r="BK18" s="36"/>
      <c r="BL18" s="36"/>
      <c r="BM18" s="36"/>
      <c r="BN18" s="36"/>
      <c r="BO18" s="36"/>
    </row>
    <row r="19">
      <c r="A19" s="25" t="s">
        <v>78</v>
      </c>
      <c r="B19" s="26">
        <v>46082.0</v>
      </c>
      <c r="C19" s="25" t="s">
        <v>76</v>
      </c>
      <c r="D19" s="25" t="s">
        <v>79</v>
      </c>
      <c r="E19" s="27">
        <v>30.0</v>
      </c>
      <c r="F19" s="27">
        <v>15.0</v>
      </c>
      <c r="G19" s="35"/>
      <c r="H19" s="6">
        <v>49.0</v>
      </c>
      <c r="I19" s="5">
        <v>15.0</v>
      </c>
      <c r="J19" s="5">
        <v>36.0</v>
      </c>
      <c r="K19" s="5">
        <v>35.0</v>
      </c>
      <c r="L19" s="5">
        <v>34.0</v>
      </c>
      <c r="M19" s="5">
        <v>114.0</v>
      </c>
      <c r="N19" s="5">
        <v>110.0</v>
      </c>
      <c r="O19" s="5">
        <v>102.0</v>
      </c>
      <c r="P19" s="37">
        <v>95.0</v>
      </c>
      <c r="Q19" s="5">
        <v>85.0</v>
      </c>
      <c r="R19" s="5">
        <v>220.0</v>
      </c>
      <c r="S19" s="5">
        <v>213.0</v>
      </c>
      <c r="T19" s="5">
        <v>209.0</v>
      </c>
      <c r="U19" s="5">
        <v>201.0</v>
      </c>
      <c r="V19" s="5">
        <v>186.0</v>
      </c>
      <c r="W19" s="5">
        <v>176.0</v>
      </c>
      <c r="X19" s="5">
        <v>167.0</v>
      </c>
      <c r="Y19" s="5">
        <v>159.0</v>
      </c>
      <c r="Z19" s="5">
        <v>149.0</v>
      </c>
      <c r="AA19" s="5">
        <v>237.0</v>
      </c>
      <c r="AB19" s="5">
        <v>235.0</v>
      </c>
      <c r="AC19" s="5">
        <v>229.0</v>
      </c>
      <c r="AD19" s="5">
        <v>225.0</v>
      </c>
      <c r="AE19" s="5">
        <v>222.0</v>
      </c>
      <c r="AF19" s="5">
        <v>232.0</v>
      </c>
      <c r="AG19" s="5">
        <v>227.0</v>
      </c>
      <c r="AH19" s="5">
        <v>218.0</v>
      </c>
      <c r="AI19" s="5">
        <v>209.0</v>
      </c>
      <c r="AJ19" s="5">
        <v>203.0</v>
      </c>
      <c r="AK19" s="31">
        <v>198.0</v>
      </c>
      <c r="AL19" s="32">
        <v>194.0</v>
      </c>
      <c r="AM19" s="32">
        <v>187.0</v>
      </c>
      <c r="AN19" s="32">
        <v>173.0</v>
      </c>
      <c r="AO19" s="32">
        <v>163.0</v>
      </c>
      <c r="AP19" s="32">
        <v>157.0</v>
      </c>
      <c r="AQ19" s="32">
        <v>152.0</v>
      </c>
      <c r="AR19" s="32">
        <v>146.0</v>
      </c>
      <c r="AS19" s="32">
        <v>155.0</v>
      </c>
      <c r="AT19" s="32">
        <v>148.0</v>
      </c>
      <c r="AU19" s="32">
        <v>142.0</v>
      </c>
      <c r="AV19" s="32">
        <v>141.0</v>
      </c>
      <c r="AW19" s="32">
        <v>290.0</v>
      </c>
      <c r="AX19" s="32">
        <v>289.0</v>
      </c>
      <c r="AY19" s="32">
        <v>289.0</v>
      </c>
      <c r="AZ19" s="32">
        <v>291.0</v>
      </c>
      <c r="BA19" s="32">
        <v>301.0</v>
      </c>
      <c r="BB19" s="32">
        <v>301.0</v>
      </c>
      <c r="BC19" s="32">
        <v>301.0</v>
      </c>
      <c r="BD19" s="32">
        <v>301.0</v>
      </c>
      <c r="BE19" s="32">
        <v>301.0</v>
      </c>
      <c r="BF19" s="32">
        <v>301.0</v>
      </c>
      <c r="BG19" s="32">
        <v>310.0</v>
      </c>
      <c r="BH19" s="32">
        <v>310.0</v>
      </c>
      <c r="BI19" s="32">
        <v>308.0</v>
      </c>
      <c r="BJ19" s="32">
        <v>301.0</v>
      </c>
      <c r="BK19" s="32">
        <v>299.0</v>
      </c>
      <c r="BL19" s="32">
        <v>292.0</v>
      </c>
      <c r="BM19" s="32">
        <v>292.0</v>
      </c>
      <c r="BN19" s="32">
        <v>291.0</v>
      </c>
      <c r="BO19" s="31"/>
    </row>
    <row r="20">
      <c r="A20" s="25" t="s">
        <v>31</v>
      </c>
      <c r="B20" s="26">
        <v>46082.0</v>
      </c>
      <c r="C20" s="25" t="s">
        <v>76</v>
      </c>
      <c r="D20" s="25" t="s">
        <v>74</v>
      </c>
      <c r="E20" s="28"/>
      <c r="F20" s="28"/>
      <c r="G20" s="35"/>
      <c r="H20" s="6">
        <v>0.0</v>
      </c>
      <c r="P20" s="37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  <c r="BH20" s="36"/>
      <c r="BI20" s="36"/>
      <c r="BJ20" s="36"/>
      <c r="BK20" s="36"/>
      <c r="BL20" s="36"/>
      <c r="BM20" s="36"/>
      <c r="BN20" s="36"/>
      <c r="BO20" s="36"/>
    </row>
    <row r="21">
      <c r="A21" s="25" t="s">
        <v>32</v>
      </c>
      <c r="B21" s="26">
        <v>46082.0</v>
      </c>
      <c r="C21" s="25" t="s">
        <v>76</v>
      </c>
      <c r="D21" s="25" t="s">
        <v>74</v>
      </c>
      <c r="E21" s="28"/>
      <c r="F21" s="28"/>
      <c r="G21" s="35"/>
      <c r="H21" s="6">
        <v>0.0</v>
      </c>
      <c r="P21" s="37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6"/>
      <c r="BF21" s="36"/>
      <c r="BG21" s="36"/>
      <c r="BH21" s="36"/>
      <c r="BI21" s="36"/>
      <c r="BJ21" s="36"/>
      <c r="BK21" s="36"/>
      <c r="BL21" s="36"/>
      <c r="BM21" s="36"/>
      <c r="BN21" s="36"/>
      <c r="BO21" s="36"/>
    </row>
    <row r="22">
      <c r="A22" s="25" t="s">
        <v>33</v>
      </c>
      <c r="B22" s="26">
        <v>46082.0</v>
      </c>
      <c r="C22" s="25" t="s">
        <v>76</v>
      </c>
      <c r="D22" s="33" t="s">
        <v>80</v>
      </c>
      <c r="E22" s="27">
        <v>30.0</v>
      </c>
      <c r="F22" s="27">
        <v>70.0</v>
      </c>
      <c r="G22" s="29">
        <v>70.0</v>
      </c>
      <c r="H22" s="6">
        <v>70.0</v>
      </c>
      <c r="I22" s="5">
        <v>70.0</v>
      </c>
      <c r="J22" s="5">
        <v>70.0</v>
      </c>
      <c r="K22" s="5">
        <v>70.0</v>
      </c>
      <c r="L22" s="5">
        <v>70.0</v>
      </c>
      <c r="M22" s="5">
        <v>99.0</v>
      </c>
      <c r="N22" s="5">
        <v>99.0</v>
      </c>
      <c r="O22" s="5">
        <v>97.0</v>
      </c>
      <c r="P22" s="37">
        <v>97.0</v>
      </c>
      <c r="Q22" s="5">
        <v>97.0</v>
      </c>
      <c r="R22" s="5">
        <v>97.0</v>
      </c>
      <c r="S22" s="5">
        <v>97.0</v>
      </c>
      <c r="T22" s="5">
        <v>77.0</v>
      </c>
      <c r="U22" s="5">
        <v>77.0</v>
      </c>
      <c r="V22" s="5">
        <v>77.0</v>
      </c>
      <c r="W22" s="5">
        <v>77.0</v>
      </c>
      <c r="X22" s="5">
        <v>77.0</v>
      </c>
      <c r="Y22" s="5">
        <v>76.0</v>
      </c>
      <c r="Z22" s="5">
        <v>75.0</v>
      </c>
      <c r="AA22" s="5">
        <v>74.0</v>
      </c>
      <c r="AB22" s="5">
        <v>74.0</v>
      </c>
      <c r="AC22" s="5">
        <v>74.0</v>
      </c>
      <c r="AD22" s="5">
        <v>73.0</v>
      </c>
      <c r="AE22" s="5">
        <v>73.0</v>
      </c>
      <c r="AF22" s="5">
        <v>73.0</v>
      </c>
      <c r="AG22" s="5">
        <v>23.0</v>
      </c>
      <c r="AH22" s="5">
        <v>23.0</v>
      </c>
      <c r="AI22" s="5">
        <v>18.0</v>
      </c>
      <c r="AJ22" s="5">
        <v>18.0</v>
      </c>
      <c r="AK22" s="31">
        <v>18.0</v>
      </c>
      <c r="AL22" s="32">
        <v>18.0</v>
      </c>
      <c r="AM22" s="32">
        <v>18.0</v>
      </c>
      <c r="AN22" s="32">
        <v>18.0</v>
      </c>
      <c r="AO22" s="32">
        <v>18.0</v>
      </c>
      <c r="AP22" s="32">
        <v>18.0</v>
      </c>
      <c r="AQ22" s="32">
        <v>17.0</v>
      </c>
      <c r="AR22" s="32">
        <v>47.0</v>
      </c>
      <c r="AS22" s="32">
        <v>47.0</v>
      </c>
      <c r="AT22" s="32">
        <v>47.0</v>
      </c>
      <c r="AU22" s="32">
        <v>47.0</v>
      </c>
      <c r="AV22" s="32">
        <v>47.0</v>
      </c>
      <c r="AW22" s="32">
        <v>47.0</v>
      </c>
      <c r="AX22" s="32">
        <v>46.0</v>
      </c>
      <c r="AY22" s="32">
        <v>46.0</v>
      </c>
      <c r="AZ22" s="32">
        <v>46.0</v>
      </c>
      <c r="BA22" s="32">
        <v>46.0</v>
      </c>
      <c r="BB22" s="32">
        <v>46.0</v>
      </c>
      <c r="BC22" s="32">
        <v>45.0</v>
      </c>
      <c r="BD22" s="32">
        <v>45.0</v>
      </c>
      <c r="BE22" s="32">
        <v>44.0</v>
      </c>
      <c r="BF22" s="32">
        <v>44.0</v>
      </c>
      <c r="BG22" s="32">
        <v>42.0</v>
      </c>
      <c r="BH22" s="32">
        <v>41.0</v>
      </c>
      <c r="BI22" s="32">
        <v>40.0</v>
      </c>
      <c r="BJ22" s="32">
        <v>40.0</v>
      </c>
      <c r="BK22" s="32">
        <v>40.0</v>
      </c>
      <c r="BL22" s="32">
        <v>40.0</v>
      </c>
      <c r="BM22" s="32">
        <v>40.0</v>
      </c>
      <c r="BN22" s="32">
        <v>40.0</v>
      </c>
      <c r="BO22" s="31"/>
    </row>
    <row r="23">
      <c r="A23" s="25" t="s">
        <v>34</v>
      </c>
      <c r="B23" s="26">
        <v>46082.0</v>
      </c>
      <c r="C23" s="25" t="s">
        <v>76</v>
      </c>
      <c r="D23" s="33" t="s">
        <v>80</v>
      </c>
      <c r="E23" s="5">
        <v>30.0</v>
      </c>
      <c r="G23" s="29">
        <v>45.0</v>
      </c>
      <c r="H23" s="6">
        <v>70.0</v>
      </c>
      <c r="I23" s="5">
        <v>45.0</v>
      </c>
      <c r="J23" s="5">
        <v>43.0</v>
      </c>
      <c r="K23" s="5">
        <v>43.0</v>
      </c>
      <c r="L23" s="5">
        <v>43.0</v>
      </c>
      <c r="M23" s="5">
        <v>50.0</v>
      </c>
      <c r="N23" s="5">
        <v>50.0</v>
      </c>
      <c r="O23" s="5">
        <v>79.0</v>
      </c>
      <c r="P23" s="37">
        <v>77.0</v>
      </c>
      <c r="Q23" s="5">
        <v>77.0</v>
      </c>
      <c r="R23" s="5">
        <v>80.0</v>
      </c>
      <c r="S23" s="5">
        <v>80.0</v>
      </c>
      <c r="T23" s="5">
        <v>56.0</v>
      </c>
      <c r="U23" s="5">
        <v>52.0</v>
      </c>
      <c r="V23" s="5">
        <v>48.0</v>
      </c>
      <c r="W23" s="5">
        <v>46.0</v>
      </c>
      <c r="X23" s="5">
        <v>42.0</v>
      </c>
      <c r="Y23" s="5">
        <v>40.0</v>
      </c>
      <c r="Z23" s="5">
        <v>40.0</v>
      </c>
      <c r="AA23" s="5">
        <v>38.0</v>
      </c>
      <c r="AB23" s="5">
        <v>40.0</v>
      </c>
      <c r="AC23" s="5">
        <v>38.0</v>
      </c>
      <c r="AD23" s="5">
        <v>39.0</v>
      </c>
      <c r="AE23" s="5">
        <v>37.0</v>
      </c>
      <c r="AF23" s="5">
        <v>37.0</v>
      </c>
      <c r="AG23" s="5">
        <v>38.0</v>
      </c>
      <c r="AH23" s="5">
        <v>39.0</v>
      </c>
      <c r="AI23" s="5">
        <v>39.0</v>
      </c>
      <c r="AJ23" s="5">
        <v>37.0</v>
      </c>
      <c r="AK23" s="31">
        <v>45.0</v>
      </c>
      <c r="AL23" s="32">
        <v>45.0</v>
      </c>
      <c r="AM23" s="32">
        <v>43.0</v>
      </c>
      <c r="AN23" s="32">
        <v>43.0</v>
      </c>
      <c r="AO23" s="32">
        <v>43.0</v>
      </c>
      <c r="AP23" s="32">
        <v>43.0</v>
      </c>
      <c r="AQ23" s="32">
        <v>42.0</v>
      </c>
      <c r="AR23" s="32">
        <v>41.0</v>
      </c>
      <c r="AS23" s="32">
        <v>40.0</v>
      </c>
      <c r="AT23" s="32">
        <v>39.0</v>
      </c>
      <c r="AU23" s="32">
        <v>39.0</v>
      </c>
      <c r="AV23" s="32">
        <v>38.0</v>
      </c>
      <c r="AW23" s="32">
        <v>37.0</v>
      </c>
      <c r="AX23" s="32">
        <v>37.0</v>
      </c>
      <c r="AY23" s="32">
        <v>35.0</v>
      </c>
      <c r="AZ23" s="32">
        <v>35.0</v>
      </c>
      <c r="BA23" s="32">
        <v>34.0</v>
      </c>
      <c r="BB23" s="32">
        <v>34.0</v>
      </c>
      <c r="BC23" s="32">
        <v>31.0</v>
      </c>
      <c r="BD23" s="32">
        <v>34.0</v>
      </c>
      <c r="BE23" s="32">
        <v>34.0</v>
      </c>
      <c r="BF23" s="32">
        <v>34.0</v>
      </c>
      <c r="BG23" s="32">
        <v>33.0</v>
      </c>
      <c r="BH23" s="32">
        <v>33.0</v>
      </c>
      <c r="BI23" s="32">
        <v>33.0</v>
      </c>
      <c r="BJ23" s="32">
        <v>33.0</v>
      </c>
      <c r="BK23" s="32">
        <v>30.0</v>
      </c>
      <c r="BL23" s="32">
        <v>30.0</v>
      </c>
      <c r="BM23" s="32">
        <v>31.0</v>
      </c>
      <c r="BN23" s="32">
        <v>31.0</v>
      </c>
      <c r="BO23" s="31"/>
    </row>
    <row r="24">
      <c r="A24" s="25" t="s">
        <v>35</v>
      </c>
      <c r="B24" s="26">
        <v>46082.0</v>
      </c>
      <c r="C24" s="25" t="s">
        <v>76</v>
      </c>
      <c r="D24" s="33" t="s">
        <v>80</v>
      </c>
      <c r="E24" s="5">
        <v>30.0</v>
      </c>
      <c r="G24" s="29">
        <v>70.0</v>
      </c>
      <c r="H24" s="6">
        <v>70.0</v>
      </c>
      <c r="I24" s="5">
        <v>70.0</v>
      </c>
      <c r="J24" s="5">
        <v>70.0</v>
      </c>
      <c r="K24" s="5">
        <v>70.0</v>
      </c>
      <c r="L24" s="5">
        <v>70.0</v>
      </c>
      <c r="M24" s="5">
        <v>100.0</v>
      </c>
      <c r="N24" s="5">
        <v>100.0</v>
      </c>
      <c r="O24" s="5">
        <v>100.0</v>
      </c>
      <c r="P24" s="37">
        <v>100.0</v>
      </c>
      <c r="Q24" s="5">
        <v>100.0</v>
      </c>
      <c r="R24" s="5">
        <v>80.0</v>
      </c>
      <c r="S24" s="5">
        <v>80.0</v>
      </c>
      <c r="T24" s="5">
        <v>80.0</v>
      </c>
      <c r="U24" s="5">
        <v>80.0</v>
      </c>
      <c r="V24" s="5">
        <v>80.0</v>
      </c>
      <c r="W24" s="5">
        <v>80.0</v>
      </c>
      <c r="X24" s="5">
        <v>69.0</v>
      </c>
      <c r="Y24" s="5">
        <v>69.0</v>
      </c>
      <c r="Z24" s="5">
        <v>61.0</v>
      </c>
      <c r="AA24" s="5">
        <v>61.0</v>
      </c>
      <c r="AB24" s="5">
        <v>61.0</v>
      </c>
      <c r="AC24" s="5">
        <v>61.0</v>
      </c>
      <c r="AD24" s="5">
        <v>51.0</v>
      </c>
      <c r="AE24" s="5">
        <v>51.0</v>
      </c>
      <c r="AF24" s="5">
        <v>51.0</v>
      </c>
      <c r="AG24" s="5">
        <v>51.0</v>
      </c>
      <c r="AH24" s="5">
        <v>51.0</v>
      </c>
      <c r="AI24" s="5">
        <v>43.0</v>
      </c>
      <c r="AJ24" s="5">
        <v>43.0</v>
      </c>
      <c r="AK24" s="31">
        <v>43.0</v>
      </c>
      <c r="AL24" s="32">
        <v>43.0</v>
      </c>
      <c r="AM24" s="32">
        <v>38.0</v>
      </c>
      <c r="AN24" s="32">
        <v>38.0</v>
      </c>
      <c r="AO24" s="32">
        <v>38.0</v>
      </c>
      <c r="AP24" s="32">
        <v>38.0</v>
      </c>
      <c r="AQ24" s="32">
        <v>38.0</v>
      </c>
      <c r="AR24" s="32">
        <v>37.0</v>
      </c>
      <c r="AS24" s="32">
        <v>32.0</v>
      </c>
      <c r="AT24" s="32">
        <v>92.0</v>
      </c>
      <c r="AU24" s="32">
        <v>90.0</v>
      </c>
      <c r="AV24" s="32">
        <v>90.0</v>
      </c>
      <c r="AW24" s="32">
        <v>90.0</v>
      </c>
      <c r="AX24" s="32">
        <v>90.0</v>
      </c>
      <c r="AY24" s="32">
        <v>90.0</v>
      </c>
      <c r="AZ24" s="32">
        <v>90.0</v>
      </c>
      <c r="BA24" s="32">
        <v>84.0</v>
      </c>
      <c r="BB24" s="32">
        <v>84.0</v>
      </c>
      <c r="BC24" s="32">
        <v>84.0</v>
      </c>
      <c r="BD24" s="32">
        <v>84.0</v>
      </c>
      <c r="BE24" s="32">
        <v>84.0</v>
      </c>
      <c r="BF24" s="32">
        <v>75.0</v>
      </c>
      <c r="BG24" s="32">
        <v>75.0</v>
      </c>
      <c r="BH24" s="32">
        <v>75.0</v>
      </c>
      <c r="BI24" s="32">
        <v>75.0</v>
      </c>
      <c r="BJ24" s="32">
        <v>75.0</v>
      </c>
      <c r="BK24" s="32">
        <v>63.0</v>
      </c>
      <c r="BL24" s="32">
        <v>61.0</v>
      </c>
      <c r="BM24" s="32">
        <v>61.0</v>
      </c>
      <c r="BN24" s="32">
        <v>53.0</v>
      </c>
      <c r="BO24" s="31"/>
    </row>
    <row r="25">
      <c r="A25" s="25" t="s">
        <v>36</v>
      </c>
      <c r="B25" s="26">
        <v>46082.0</v>
      </c>
      <c r="C25" s="25" t="s">
        <v>76</v>
      </c>
      <c r="D25" s="33" t="s">
        <v>74</v>
      </c>
      <c r="E25" s="5">
        <v>50.0</v>
      </c>
      <c r="G25" s="29">
        <v>20.0</v>
      </c>
      <c r="H25" s="6">
        <v>50.0</v>
      </c>
      <c r="I25" s="5">
        <v>50.0</v>
      </c>
      <c r="J25" s="5">
        <v>50.0</v>
      </c>
      <c r="K25" s="5">
        <v>50.0</v>
      </c>
      <c r="L25" s="5">
        <v>50.0</v>
      </c>
      <c r="M25" s="5">
        <v>50.0</v>
      </c>
      <c r="N25" s="5">
        <v>50.0</v>
      </c>
      <c r="O25" s="5">
        <v>50.0</v>
      </c>
      <c r="P25" s="37">
        <v>79.0</v>
      </c>
      <c r="Q25" s="5">
        <v>79.0</v>
      </c>
      <c r="R25" s="5">
        <v>79.0</v>
      </c>
      <c r="S25" s="5">
        <v>79.0</v>
      </c>
      <c r="T25" s="5">
        <v>79.0</v>
      </c>
      <c r="U25" s="5">
        <v>79.0</v>
      </c>
      <c r="V25" s="5">
        <v>79.0</v>
      </c>
      <c r="W25" s="5">
        <v>78.0</v>
      </c>
      <c r="X25" s="5">
        <v>78.0</v>
      </c>
      <c r="Y25" s="5">
        <v>78.0</v>
      </c>
      <c r="Z25" s="5">
        <v>77.0</v>
      </c>
      <c r="AA25" s="5">
        <v>76.0</v>
      </c>
      <c r="AB25" s="5">
        <v>76.0</v>
      </c>
      <c r="AC25" s="5">
        <v>75.0</v>
      </c>
      <c r="AD25" s="5">
        <v>74.0</v>
      </c>
      <c r="AE25" s="5">
        <v>74.0</v>
      </c>
      <c r="AF25" s="5">
        <v>73.0</v>
      </c>
      <c r="AG25" s="5">
        <v>25.0</v>
      </c>
      <c r="AH25" s="5">
        <v>25.0</v>
      </c>
      <c r="AI25" s="5">
        <v>25.0</v>
      </c>
      <c r="AJ25" s="5">
        <v>25.0</v>
      </c>
      <c r="AK25" s="31">
        <v>24.0</v>
      </c>
      <c r="AL25" s="32">
        <v>24.0</v>
      </c>
      <c r="AM25" s="32">
        <v>24.0</v>
      </c>
      <c r="AN25" s="32">
        <v>24.0</v>
      </c>
      <c r="AO25" s="32">
        <v>24.0</v>
      </c>
      <c r="AP25" s="32">
        <v>21.0</v>
      </c>
      <c r="AQ25" s="32">
        <v>21.0</v>
      </c>
      <c r="AR25" s="32">
        <v>21.0</v>
      </c>
      <c r="AS25" s="32">
        <v>51.0</v>
      </c>
      <c r="AT25" s="32">
        <v>51.0</v>
      </c>
      <c r="AU25" s="32">
        <v>50.0</v>
      </c>
      <c r="AV25" s="32">
        <v>48.0</v>
      </c>
      <c r="AW25" s="32">
        <v>48.0</v>
      </c>
      <c r="AX25" s="32">
        <v>48.0</v>
      </c>
      <c r="AY25" s="32">
        <v>47.0</v>
      </c>
      <c r="AZ25" s="32">
        <v>47.0</v>
      </c>
      <c r="BA25" s="32">
        <v>47.0</v>
      </c>
      <c r="BB25" s="32">
        <v>47.0</v>
      </c>
      <c r="BC25" s="32">
        <v>46.0</v>
      </c>
      <c r="BD25" s="32">
        <v>46.0</v>
      </c>
      <c r="BE25" s="32">
        <v>46.0</v>
      </c>
      <c r="BF25" s="32">
        <v>46.0</v>
      </c>
      <c r="BG25" s="32">
        <v>45.0</v>
      </c>
      <c r="BH25" s="32">
        <v>45.0</v>
      </c>
      <c r="BI25" s="32">
        <v>45.0</v>
      </c>
      <c r="BJ25" s="32">
        <v>45.0</v>
      </c>
      <c r="BK25" s="32">
        <v>45.0</v>
      </c>
      <c r="BL25" s="32">
        <v>46.0</v>
      </c>
      <c r="BM25" s="32">
        <v>46.0</v>
      </c>
      <c r="BN25" s="32">
        <v>46.0</v>
      </c>
      <c r="BO25" s="31"/>
    </row>
    <row r="26">
      <c r="A26" s="25" t="s">
        <v>37</v>
      </c>
      <c r="B26" s="26">
        <v>46082.0</v>
      </c>
      <c r="C26" s="25" t="s">
        <v>76</v>
      </c>
      <c r="D26" s="33" t="s">
        <v>81</v>
      </c>
      <c r="E26" s="5">
        <v>30.0</v>
      </c>
      <c r="G26" s="29">
        <v>45.0</v>
      </c>
      <c r="H26" s="6">
        <v>45.0</v>
      </c>
      <c r="I26" s="5">
        <v>45.0</v>
      </c>
      <c r="J26" s="5">
        <v>45.0</v>
      </c>
      <c r="K26" s="5">
        <v>45.0</v>
      </c>
      <c r="L26" s="5">
        <v>45.0</v>
      </c>
      <c r="M26" s="5">
        <v>75.0</v>
      </c>
      <c r="N26" s="5">
        <v>75.0</v>
      </c>
      <c r="O26" s="5">
        <v>75.0</v>
      </c>
      <c r="P26" s="37">
        <v>75.0</v>
      </c>
      <c r="Q26" s="5">
        <v>75.0</v>
      </c>
      <c r="R26" s="5">
        <v>60.0</v>
      </c>
      <c r="S26" s="5">
        <v>60.0</v>
      </c>
      <c r="T26" s="5">
        <v>60.0</v>
      </c>
      <c r="U26" s="5">
        <v>60.0</v>
      </c>
      <c r="V26" s="5">
        <v>60.0</v>
      </c>
      <c r="W26" s="5">
        <v>60.0</v>
      </c>
      <c r="X26" s="5">
        <v>60.0</v>
      </c>
      <c r="Y26" s="5">
        <v>60.0</v>
      </c>
      <c r="Z26" s="5">
        <v>60.0</v>
      </c>
      <c r="AA26" s="5">
        <v>60.0</v>
      </c>
      <c r="AB26" s="5">
        <v>60.0</v>
      </c>
      <c r="AC26" s="5">
        <v>60.0</v>
      </c>
      <c r="AD26" s="5">
        <v>60.0</v>
      </c>
      <c r="AE26" s="5">
        <v>60.0</v>
      </c>
      <c r="AF26" s="5">
        <v>60.0</v>
      </c>
      <c r="AG26" s="5">
        <v>30.0</v>
      </c>
      <c r="AH26" s="5">
        <v>30.0</v>
      </c>
      <c r="AI26" s="5">
        <v>30.0</v>
      </c>
      <c r="AJ26" s="5">
        <v>30.0</v>
      </c>
      <c r="AK26" s="31">
        <v>30.0</v>
      </c>
      <c r="AL26" s="32">
        <v>30.0</v>
      </c>
      <c r="AM26" s="32">
        <v>30.0</v>
      </c>
      <c r="AN26" s="32">
        <v>30.0</v>
      </c>
      <c r="AO26" s="32">
        <v>30.0</v>
      </c>
      <c r="AP26" s="32">
        <v>30.0</v>
      </c>
      <c r="AQ26" s="32">
        <v>30.0</v>
      </c>
      <c r="AR26" s="32">
        <v>60.0</v>
      </c>
      <c r="AS26" s="32">
        <v>60.0</v>
      </c>
      <c r="AT26" s="32">
        <v>60.0</v>
      </c>
      <c r="AU26" s="32">
        <v>60.0</v>
      </c>
      <c r="AV26" s="32">
        <v>60.0</v>
      </c>
      <c r="AW26" s="32">
        <v>60.0</v>
      </c>
      <c r="AX26" s="32">
        <v>60.0</v>
      </c>
      <c r="AY26" s="32">
        <v>60.0</v>
      </c>
      <c r="AZ26" s="32">
        <v>60.0</v>
      </c>
      <c r="BA26" s="32">
        <v>60.0</v>
      </c>
      <c r="BB26" s="32">
        <v>60.0</v>
      </c>
      <c r="BC26" s="32">
        <v>60.0</v>
      </c>
      <c r="BD26" s="32">
        <v>60.0</v>
      </c>
      <c r="BE26" s="32">
        <v>60.0</v>
      </c>
      <c r="BF26" s="32">
        <v>60.0</v>
      </c>
      <c r="BG26" s="32">
        <v>60.0</v>
      </c>
      <c r="BH26" s="32">
        <v>60.0</v>
      </c>
      <c r="BI26" s="32">
        <v>60.0</v>
      </c>
      <c r="BJ26" s="32">
        <v>60.0</v>
      </c>
      <c r="BK26" s="32">
        <v>60.0</v>
      </c>
      <c r="BL26" s="32">
        <v>60.0</v>
      </c>
      <c r="BM26" s="32">
        <v>60.0</v>
      </c>
      <c r="BN26" s="32">
        <v>60.0</v>
      </c>
      <c r="BO26" s="31"/>
    </row>
    <row r="27">
      <c r="A27" s="25" t="s">
        <v>38</v>
      </c>
      <c r="B27" s="26">
        <v>46082.0</v>
      </c>
      <c r="C27" s="25" t="s">
        <v>76</v>
      </c>
      <c r="D27" s="33" t="s">
        <v>82</v>
      </c>
      <c r="E27" s="5">
        <v>30.0</v>
      </c>
      <c r="G27" s="29">
        <v>70.0</v>
      </c>
      <c r="H27" s="6">
        <v>70.0</v>
      </c>
      <c r="I27" s="5">
        <v>70.0</v>
      </c>
      <c r="J27" s="5">
        <v>70.0</v>
      </c>
      <c r="K27" s="5">
        <v>70.0</v>
      </c>
      <c r="L27" s="5">
        <v>70.0</v>
      </c>
      <c r="M27" s="5">
        <v>70.0</v>
      </c>
      <c r="N27" s="5">
        <v>70.0</v>
      </c>
      <c r="O27" s="5">
        <v>99.0</v>
      </c>
      <c r="P27" s="37">
        <v>99.0</v>
      </c>
      <c r="Q27" s="5">
        <v>79.0</v>
      </c>
      <c r="R27" s="5">
        <v>79.0</v>
      </c>
      <c r="S27" s="5">
        <v>79.0</v>
      </c>
      <c r="T27" s="5">
        <v>79.0</v>
      </c>
      <c r="U27" s="5">
        <v>79.0</v>
      </c>
      <c r="V27" s="5">
        <v>79.0</v>
      </c>
      <c r="W27" s="5">
        <v>79.0</v>
      </c>
      <c r="X27" s="5">
        <v>79.0</v>
      </c>
      <c r="Y27" s="5">
        <v>79.0</v>
      </c>
      <c r="Z27" s="5">
        <v>79.0</v>
      </c>
      <c r="AA27" s="5">
        <v>79.0</v>
      </c>
      <c r="AB27" s="5">
        <v>79.0</v>
      </c>
      <c r="AC27" s="5">
        <v>79.0</v>
      </c>
      <c r="AD27" s="5">
        <v>78.0</v>
      </c>
      <c r="AE27" s="5">
        <v>78.0</v>
      </c>
      <c r="AF27" s="5">
        <v>78.0</v>
      </c>
      <c r="AG27" s="5">
        <v>18.0</v>
      </c>
      <c r="AH27" s="5">
        <v>18.0</v>
      </c>
      <c r="AI27" s="5">
        <v>18.0</v>
      </c>
      <c r="AJ27" s="5">
        <v>18.0</v>
      </c>
      <c r="AK27" s="31">
        <v>18.0</v>
      </c>
      <c r="AL27" s="32">
        <v>18.0</v>
      </c>
      <c r="AM27" s="32">
        <v>18.0</v>
      </c>
      <c r="AN27" s="32">
        <v>18.0</v>
      </c>
      <c r="AO27" s="32">
        <v>18.0</v>
      </c>
      <c r="AP27" s="32">
        <v>18.0</v>
      </c>
      <c r="AQ27" s="32">
        <v>18.0</v>
      </c>
      <c r="AR27" s="32">
        <v>48.0</v>
      </c>
      <c r="AS27" s="32">
        <v>48.0</v>
      </c>
      <c r="AT27" s="32">
        <v>47.0</v>
      </c>
      <c r="AU27" s="32">
        <v>47.0</v>
      </c>
      <c r="AV27" s="32">
        <v>47.0</v>
      </c>
      <c r="AW27" s="32">
        <v>46.0</v>
      </c>
      <c r="AX27" s="32">
        <v>45.0</v>
      </c>
      <c r="AY27" s="32">
        <v>41.0</v>
      </c>
      <c r="AZ27" s="32">
        <v>41.0</v>
      </c>
      <c r="BA27" s="32">
        <v>40.0</v>
      </c>
      <c r="BB27" s="32">
        <v>38.0</v>
      </c>
      <c r="BC27" s="32">
        <v>37.0</v>
      </c>
      <c r="BD27" s="32">
        <v>33.0</v>
      </c>
      <c r="BE27" s="32">
        <v>33.0</v>
      </c>
      <c r="BF27" s="32">
        <v>33.0</v>
      </c>
      <c r="BG27" s="32">
        <v>33.0</v>
      </c>
      <c r="BH27" s="32">
        <v>31.0</v>
      </c>
      <c r="BI27" s="32">
        <v>31.0</v>
      </c>
      <c r="BJ27" s="32">
        <v>31.0</v>
      </c>
      <c r="BK27" s="32">
        <v>29.0</v>
      </c>
      <c r="BL27" s="32">
        <v>29.0</v>
      </c>
      <c r="BM27" s="32">
        <v>25.0</v>
      </c>
      <c r="BN27" s="32">
        <v>55.0</v>
      </c>
      <c r="BO27" s="31"/>
    </row>
    <row r="28">
      <c r="A28" s="25" t="s">
        <v>39</v>
      </c>
      <c r="B28" s="26">
        <v>46082.0</v>
      </c>
      <c r="C28" s="25" t="s">
        <v>76</v>
      </c>
      <c r="D28" s="33" t="s">
        <v>83</v>
      </c>
      <c r="E28" s="5">
        <v>30.0</v>
      </c>
      <c r="G28" s="29">
        <v>30.0</v>
      </c>
      <c r="H28" s="6">
        <v>60.0</v>
      </c>
      <c r="I28" s="5">
        <v>30.0</v>
      </c>
      <c r="J28" s="5">
        <v>45.0</v>
      </c>
      <c r="K28" s="5">
        <v>45.0</v>
      </c>
      <c r="L28" s="5">
        <v>45.0</v>
      </c>
      <c r="M28" s="5">
        <v>45.0</v>
      </c>
      <c r="N28" s="5">
        <v>45.0</v>
      </c>
      <c r="O28" s="5">
        <v>45.0</v>
      </c>
      <c r="P28" s="37">
        <v>45.0</v>
      </c>
      <c r="Q28" s="5">
        <v>45.0</v>
      </c>
      <c r="R28" s="5">
        <v>45.0</v>
      </c>
      <c r="S28" s="5">
        <v>45.0</v>
      </c>
      <c r="T28" s="5">
        <v>45.0</v>
      </c>
      <c r="U28" s="5">
        <v>45.0</v>
      </c>
      <c r="V28" s="5">
        <v>75.0</v>
      </c>
      <c r="W28" s="5">
        <v>75.0</v>
      </c>
      <c r="X28" s="5">
        <v>75.0</v>
      </c>
      <c r="Y28" s="5">
        <v>75.0</v>
      </c>
      <c r="Z28" s="5">
        <v>75.0</v>
      </c>
      <c r="AA28" s="5">
        <v>75.0</v>
      </c>
      <c r="AB28" s="5">
        <v>75.0</v>
      </c>
      <c r="AC28" s="5">
        <v>75.0</v>
      </c>
      <c r="AD28" s="5">
        <v>75.0</v>
      </c>
      <c r="AE28" s="5">
        <v>75.0</v>
      </c>
      <c r="AF28" s="5">
        <v>75.0</v>
      </c>
      <c r="AG28" s="5">
        <v>75.0</v>
      </c>
      <c r="AH28" s="5">
        <v>75.0</v>
      </c>
      <c r="AI28" s="5">
        <v>75.0</v>
      </c>
      <c r="AJ28" s="5">
        <v>75.0</v>
      </c>
      <c r="AK28" s="31">
        <v>75.0</v>
      </c>
      <c r="AL28" s="32">
        <v>75.0</v>
      </c>
      <c r="AM28" s="32">
        <v>75.0</v>
      </c>
      <c r="AN28" s="32">
        <v>75.0</v>
      </c>
      <c r="AO28" s="32">
        <v>75.0</v>
      </c>
      <c r="AP28" s="32">
        <v>75.0</v>
      </c>
      <c r="AQ28" s="32">
        <v>75.0</v>
      </c>
      <c r="AR28" s="32">
        <v>75.0</v>
      </c>
      <c r="AS28" s="32">
        <v>75.0</v>
      </c>
      <c r="AT28" s="32">
        <v>75.0</v>
      </c>
      <c r="AU28" s="32">
        <v>75.0</v>
      </c>
      <c r="AV28" s="32">
        <v>75.0</v>
      </c>
      <c r="AW28" s="32">
        <v>75.0</v>
      </c>
      <c r="AX28" s="32">
        <v>75.0</v>
      </c>
      <c r="AY28" s="32">
        <v>75.0</v>
      </c>
      <c r="AZ28" s="32">
        <v>73.0</v>
      </c>
      <c r="BA28" s="32">
        <v>73.0</v>
      </c>
      <c r="BB28" s="32">
        <v>73.0</v>
      </c>
      <c r="BC28" s="32">
        <v>73.0</v>
      </c>
      <c r="BD28" s="32">
        <v>73.0</v>
      </c>
      <c r="BE28" s="32">
        <v>73.0</v>
      </c>
      <c r="BF28" s="32">
        <v>73.0</v>
      </c>
      <c r="BG28" s="32">
        <v>73.0</v>
      </c>
      <c r="BH28" s="32">
        <v>73.0</v>
      </c>
      <c r="BI28" s="32">
        <v>73.0</v>
      </c>
      <c r="BJ28" s="32">
        <v>73.0</v>
      </c>
      <c r="BK28" s="32">
        <v>73.0</v>
      </c>
      <c r="BL28" s="32">
        <v>81.0</v>
      </c>
      <c r="BM28" s="32">
        <v>81.0</v>
      </c>
      <c r="BN28" s="32">
        <v>31.0</v>
      </c>
      <c r="BO28" s="31"/>
    </row>
    <row r="29">
      <c r="A29" s="25" t="s">
        <v>40</v>
      </c>
      <c r="B29" s="25" t="s">
        <v>84</v>
      </c>
      <c r="C29" s="25" t="s">
        <v>76</v>
      </c>
      <c r="D29" s="33" t="s">
        <v>81</v>
      </c>
      <c r="E29" s="5">
        <v>30.0</v>
      </c>
      <c r="G29" s="29">
        <v>75.0</v>
      </c>
      <c r="H29" s="6">
        <v>45.0</v>
      </c>
      <c r="I29" s="5">
        <v>75.0</v>
      </c>
      <c r="J29" s="5">
        <v>75.0</v>
      </c>
      <c r="K29" s="5">
        <v>75.0</v>
      </c>
      <c r="L29" s="5">
        <v>75.0</v>
      </c>
      <c r="M29" s="5">
        <v>75.0</v>
      </c>
      <c r="N29" s="5">
        <v>75.0</v>
      </c>
      <c r="O29" s="5">
        <v>135.0</v>
      </c>
      <c r="P29" s="37">
        <v>135.0</v>
      </c>
      <c r="Q29" s="5">
        <v>135.0</v>
      </c>
      <c r="R29" s="5">
        <v>120.0</v>
      </c>
      <c r="S29" s="5">
        <v>120.0</v>
      </c>
      <c r="T29" s="5">
        <v>60.0</v>
      </c>
      <c r="U29" s="5">
        <v>60.0</v>
      </c>
      <c r="V29" s="5">
        <v>60.0</v>
      </c>
      <c r="W29" s="5">
        <v>60.0</v>
      </c>
      <c r="X29" s="5">
        <v>60.0</v>
      </c>
      <c r="Y29" s="5">
        <v>60.0</v>
      </c>
      <c r="Z29" s="5">
        <v>60.0</v>
      </c>
      <c r="AA29" s="5">
        <v>60.0</v>
      </c>
      <c r="AB29" s="5">
        <v>60.0</v>
      </c>
      <c r="AC29" s="5">
        <v>60.0</v>
      </c>
      <c r="AD29" s="5">
        <v>60.0</v>
      </c>
      <c r="AE29" s="5">
        <v>60.0</v>
      </c>
      <c r="AF29" s="5">
        <v>60.0</v>
      </c>
      <c r="AG29" s="5">
        <v>30.0</v>
      </c>
      <c r="AH29" s="5">
        <v>30.0</v>
      </c>
      <c r="AI29" s="5">
        <v>30.0</v>
      </c>
      <c r="AJ29" s="5">
        <v>30.0</v>
      </c>
      <c r="AK29" s="31">
        <v>30.0</v>
      </c>
      <c r="AL29" s="32">
        <v>30.0</v>
      </c>
      <c r="AM29" s="32">
        <v>30.0</v>
      </c>
      <c r="AN29" s="32">
        <v>30.0</v>
      </c>
      <c r="AO29" s="32">
        <v>30.0</v>
      </c>
      <c r="AP29" s="32">
        <v>30.0</v>
      </c>
      <c r="AQ29" s="32">
        <v>30.0</v>
      </c>
      <c r="AR29" s="32">
        <v>60.0</v>
      </c>
      <c r="AS29" s="32">
        <v>60.0</v>
      </c>
      <c r="AT29" s="32">
        <v>60.0</v>
      </c>
      <c r="AU29" s="32">
        <v>60.0</v>
      </c>
      <c r="AV29" s="32">
        <v>60.0</v>
      </c>
      <c r="AW29" s="32">
        <v>60.0</v>
      </c>
      <c r="AX29" s="32">
        <v>60.0</v>
      </c>
      <c r="AY29" s="32">
        <v>60.0</v>
      </c>
      <c r="AZ29" s="32">
        <v>60.0</v>
      </c>
      <c r="BA29" s="32">
        <v>60.0</v>
      </c>
      <c r="BB29" s="32">
        <v>60.0</v>
      </c>
      <c r="BC29" s="32">
        <v>60.0</v>
      </c>
      <c r="BD29" s="32">
        <v>60.0</v>
      </c>
      <c r="BE29" s="32">
        <v>60.0</v>
      </c>
      <c r="BF29" s="32">
        <v>60.0</v>
      </c>
      <c r="BG29" s="32">
        <v>60.0</v>
      </c>
      <c r="BH29" s="32">
        <v>60.0</v>
      </c>
      <c r="BI29" s="32">
        <v>60.0</v>
      </c>
      <c r="BJ29" s="32">
        <v>60.0</v>
      </c>
      <c r="BK29" s="32">
        <v>60.0</v>
      </c>
      <c r="BL29" s="32">
        <v>60.0</v>
      </c>
      <c r="BM29" s="32">
        <v>60.0</v>
      </c>
      <c r="BN29" s="32">
        <v>60.0</v>
      </c>
      <c r="BO29" s="31"/>
    </row>
    <row r="30">
      <c r="A30" s="25" t="s">
        <v>42</v>
      </c>
      <c r="B30" s="25" t="s">
        <v>85</v>
      </c>
      <c r="C30" s="25" t="s">
        <v>74</v>
      </c>
      <c r="D30" s="25" t="s">
        <v>86</v>
      </c>
      <c r="E30" s="5">
        <v>210.0</v>
      </c>
      <c r="G30" s="29">
        <v>15.0</v>
      </c>
      <c r="H30" s="6">
        <v>240.0</v>
      </c>
      <c r="I30" s="5">
        <v>15.0</v>
      </c>
      <c r="J30" s="5">
        <v>15.0</v>
      </c>
      <c r="K30" s="5">
        <v>15.0</v>
      </c>
      <c r="L30" s="5">
        <v>15.0</v>
      </c>
      <c r="M30" s="5">
        <v>403.0</v>
      </c>
      <c r="N30" s="5">
        <v>403.0</v>
      </c>
      <c r="O30" s="5">
        <v>343.0</v>
      </c>
      <c r="P30" s="37">
        <v>343.0</v>
      </c>
      <c r="Q30" s="5">
        <v>343.0</v>
      </c>
      <c r="R30" s="5">
        <v>163.0</v>
      </c>
      <c r="S30" s="5">
        <v>163.0</v>
      </c>
      <c r="T30" s="5">
        <v>163.0</v>
      </c>
      <c r="U30" s="5">
        <v>163.0</v>
      </c>
      <c r="V30" s="5">
        <v>43.0</v>
      </c>
      <c r="W30" s="5">
        <v>43.0</v>
      </c>
      <c r="X30" s="5">
        <v>63.0</v>
      </c>
      <c r="Y30" s="5">
        <v>193.0</v>
      </c>
      <c r="Z30" s="5">
        <v>43.0</v>
      </c>
      <c r="AA30" s="5">
        <v>43.0</v>
      </c>
      <c r="AB30" s="5">
        <v>13.0</v>
      </c>
      <c r="AC30" s="5">
        <v>13.0</v>
      </c>
      <c r="AD30" s="5">
        <v>13.0</v>
      </c>
      <c r="AE30" s="5">
        <v>13.0</v>
      </c>
      <c r="AF30" s="5">
        <v>13.0</v>
      </c>
      <c r="AG30" s="5">
        <v>13.0</v>
      </c>
      <c r="AH30" s="5">
        <v>13.0</v>
      </c>
      <c r="AI30" s="5">
        <v>13.0</v>
      </c>
      <c r="AJ30" s="5">
        <v>13.0</v>
      </c>
      <c r="AK30" s="31">
        <v>13.0</v>
      </c>
      <c r="AL30" s="32">
        <v>13.0</v>
      </c>
      <c r="AM30" s="32">
        <v>12.0</v>
      </c>
      <c r="AN30" s="32">
        <v>12.0</v>
      </c>
      <c r="AO30" s="32">
        <v>12.0</v>
      </c>
      <c r="AP30" s="32">
        <v>12.0</v>
      </c>
      <c r="AQ30" s="32">
        <v>12.0</v>
      </c>
      <c r="AR30" s="32">
        <v>11.0</v>
      </c>
      <c r="AS30" s="32">
        <v>161.0</v>
      </c>
      <c r="AT30" s="32">
        <v>161.0</v>
      </c>
      <c r="AU30" s="32">
        <v>161.0</v>
      </c>
      <c r="AV30" s="32">
        <v>41.0</v>
      </c>
      <c r="AW30" s="32">
        <v>41.0</v>
      </c>
      <c r="AX30" s="32">
        <v>41.0</v>
      </c>
      <c r="AY30" s="32">
        <v>41.0</v>
      </c>
      <c r="AZ30" s="32">
        <v>41.0</v>
      </c>
      <c r="BA30" s="32">
        <v>41.0</v>
      </c>
      <c r="BB30" s="32">
        <v>41.0</v>
      </c>
      <c r="BC30" s="32">
        <v>41.0</v>
      </c>
      <c r="BD30" s="32">
        <v>41.0</v>
      </c>
      <c r="BE30" s="32">
        <v>41.0</v>
      </c>
      <c r="BF30" s="32">
        <v>41.0</v>
      </c>
      <c r="BG30" s="32">
        <v>41.0</v>
      </c>
      <c r="BH30" s="32">
        <v>41.0</v>
      </c>
      <c r="BI30" s="32">
        <v>41.0</v>
      </c>
      <c r="BJ30" s="32">
        <v>41.0</v>
      </c>
      <c r="BK30" s="32">
        <v>41.0</v>
      </c>
      <c r="BL30" s="32">
        <v>41.0</v>
      </c>
      <c r="BM30" s="32">
        <v>41.0</v>
      </c>
      <c r="BN30" s="32">
        <v>41.0</v>
      </c>
      <c r="BO30" s="31"/>
    </row>
    <row r="31">
      <c r="A31" s="25" t="s">
        <v>43</v>
      </c>
      <c r="B31" s="26">
        <v>46114.0</v>
      </c>
      <c r="C31" s="26">
        <v>46023.0</v>
      </c>
      <c r="D31" s="33" t="s">
        <v>87</v>
      </c>
      <c r="E31" s="5">
        <v>30.0</v>
      </c>
      <c r="G31" s="29">
        <v>20.0</v>
      </c>
      <c r="H31" s="6">
        <v>50.0</v>
      </c>
      <c r="I31" s="5">
        <v>20.0</v>
      </c>
      <c r="J31" s="5">
        <v>20.0</v>
      </c>
      <c r="K31" s="5">
        <v>20.0</v>
      </c>
      <c r="L31" s="5">
        <v>20.0</v>
      </c>
      <c r="M31" s="5">
        <v>50.0</v>
      </c>
      <c r="N31" s="5">
        <v>50.0</v>
      </c>
      <c r="O31" s="5">
        <v>50.0</v>
      </c>
      <c r="P31" s="37">
        <v>50.0</v>
      </c>
      <c r="Q31" s="5">
        <v>50.0</v>
      </c>
      <c r="R31" s="5">
        <v>30.0</v>
      </c>
      <c r="S31" s="5">
        <v>30.0</v>
      </c>
      <c r="T31" s="5">
        <v>30.0</v>
      </c>
      <c r="U31" s="5">
        <v>30.0</v>
      </c>
      <c r="V31" s="5">
        <v>30.0</v>
      </c>
      <c r="W31" s="5">
        <v>30.0</v>
      </c>
      <c r="X31" s="5">
        <v>30.0</v>
      </c>
      <c r="Y31" s="5">
        <v>30.0</v>
      </c>
      <c r="Z31" s="5">
        <v>30.0</v>
      </c>
      <c r="AA31" s="5">
        <v>30.0</v>
      </c>
      <c r="AB31" s="5">
        <v>30.0</v>
      </c>
      <c r="AC31" s="5">
        <v>30.0</v>
      </c>
      <c r="AD31" s="5">
        <v>30.0</v>
      </c>
      <c r="AE31" s="5">
        <v>30.0</v>
      </c>
      <c r="AF31" s="5">
        <v>30.0</v>
      </c>
      <c r="AG31" s="5">
        <v>30.0</v>
      </c>
      <c r="AH31" s="5">
        <v>30.0</v>
      </c>
      <c r="AI31" s="5">
        <v>30.0</v>
      </c>
      <c r="AJ31" s="5">
        <v>30.0</v>
      </c>
      <c r="AK31" s="31">
        <v>30.0</v>
      </c>
      <c r="AL31" s="32">
        <v>30.0</v>
      </c>
      <c r="AM31" s="32">
        <v>30.0</v>
      </c>
      <c r="AN31" s="32">
        <v>30.0</v>
      </c>
      <c r="AO31" s="32">
        <v>30.0</v>
      </c>
      <c r="AP31" s="32">
        <v>30.0</v>
      </c>
      <c r="AQ31" s="32">
        <v>30.0</v>
      </c>
      <c r="AR31" s="32">
        <v>30.0</v>
      </c>
      <c r="AS31" s="32">
        <v>30.0</v>
      </c>
      <c r="AT31" s="32">
        <v>30.0</v>
      </c>
      <c r="AU31" s="32">
        <v>30.0</v>
      </c>
      <c r="AV31" s="32">
        <v>32.0</v>
      </c>
      <c r="AW31" s="32">
        <v>32.0</v>
      </c>
      <c r="AX31" s="32">
        <v>32.0</v>
      </c>
      <c r="AY31" s="32">
        <v>34.0</v>
      </c>
      <c r="AZ31" s="32">
        <v>35.0</v>
      </c>
      <c r="BA31" s="32">
        <v>30.0</v>
      </c>
      <c r="BB31" s="32">
        <v>30.0</v>
      </c>
      <c r="BC31" s="32">
        <v>30.0</v>
      </c>
      <c r="BD31" s="32">
        <v>31.0</v>
      </c>
      <c r="BE31" s="32">
        <v>31.0</v>
      </c>
      <c r="BF31" s="32">
        <v>31.0</v>
      </c>
      <c r="BG31" s="32">
        <v>31.0</v>
      </c>
      <c r="BH31" s="32">
        <v>32.0</v>
      </c>
      <c r="BI31" s="32">
        <v>30.0</v>
      </c>
      <c r="BJ31" s="32">
        <v>30.0</v>
      </c>
      <c r="BK31" s="32">
        <v>30.0</v>
      </c>
      <c r="BL31" s="32">
        <v>30.0</v>
      </c>
      <c r="BM31" s="32">
        <v>31.0</v>
      </c>
      <c r="BN31" s="32">
        <v>31.0</v>
      </c>
      <c r="BO31" s="31"/>
    </row>
    <row r="32">
      <c r="A32" s="25" t="s">
        <v>44</v>
      </c>
      <c r="B32" s="25" t="s">
        <v>88</v>
      </c>
      <c r="C32" s="25" t="s">
        <v>76</v>
      </c>
      <c r="D32" s="25" t="s">
        <v>83</v>
      </c>
      <c r="G32" s="29">
        <v>30.0</v>
      </c>
      <c r="H32" s="6">
        <v>30.0</v>
      </c>
      <c r="I32" s="5">
        <v>30.0</v>
      </c>
      <c r="J32" s="5">
        <v>30.0</v>
      </c>
      <c r="K32" s="5">
        <v>30.0</v>
      </c>
      <c r="L32" s="5">
        <v>30.0</v>
      </c>
      <c r="M32" s="5">
        <v>30.0</v>
      </c>
      <c r="N32" s="5">
        <v>30.0</v>
      </c>
      <c r="O32" s="5">
        <v>30.0</v>
      </c>
      <c r="P32" s="38">
        <v>30.0</v>
      </c>
      <c r="Q32" s="5">
        <v>30.0</v>
      </c>
      <c r="R32" s="5">
        <v>30.0</v>
      </c>
      <c r="S32" s="5">
        <v>30.0</v>
      </c>
      <c r="T32" s="5">
        <v>15.0</v>
      </c>
      <c r="U32" s="5">
        <v>15.0</v>
      </c>
      <c r="V32" s="5">
        <v>15.0</v>
      </c>
      <c r="W32" s="5">
        <v>15.0</v>
      </c>
      <c r="X32" s="5">
        <v>15.0</v>
      </c>
      <c r="Y32" s="5">
        <v>15.0</v>
      </c>
      <c r="Z32" s="5">
        <v>15.0</v>
      </c>
      <c r="AA32" s="5">
        <v>15.0</v>
      </c>
      <c r="AB32" s="5">
        <v>15.0</v>
      </c>
      <c r="AC32" s="5">
        <v>15.0</v>
      </c>
      <c r="AD32" s="5">
        <v>15.0</v>
      </c>
      <c r="AE32" s="5">
        <v>15.0</v>
      </c>
      <c r="AF32" s="5">
        <v>15.0</v>
      </c>
      <c r="AG32" s="5">
        <v>15.0</v>
      </c>
      <c r="AH32" s="5">
        <v>12.0</v>
      </c>
      <c r="AI32" s="5">
        <v>12.0</v>
      </c>
      <c r="AJ32" s="5">
        <v>12.0</v>
      </c>
      <c r="AK32" s="31">
        <v>12.0</v>
      </c>
      <c r="AL32" s="32">
        <v>12.0</v>
      </c>
      <c r="AM32" s="32">
        <v>6.0</v>
      </c>
      <c r="AN32" s="32">
        <v>6.0</v>
      </c>
      <c r="AO32" s="32">
        <v>6.0</v>
      </c>
      <c r="AP32" s="32">
        <v>6.0</v>
      </c>
      <c r="AQ32" s="32">
        <v>6.0</v>
      </c>
      <c r="AR32" s="32">
        <v>6.0</v>
      </c>
      <c r="AS32" s="32">
        <v>6.0</v>
      </c>
      <c r="AT32" s="32">
        <v>6.0</v>
      </c>
      <c r="AU32" s="32">
        <v>6.0</v>
      </c>
      <c r="AV32" s="32">
        <v>6.0</v>
      </c>
      <c r="AW32" s="32">
        <v>6.0</v>
      </c>
      <c r="AX32" s="32">
        <v>4.0</v>
      </c>
      <c r="AY32" s="32">
        <v>2.0</v>
      </c>
      <c r="AZ32" s="32">
        <v>25.0</v>
      </c>
      <c r="BA32" s="32">
        <v>25.0</v>
      </c>
      <c r="BB32" s="32">
        <v>25.0</v>
      </c>
      <c r="BC32" s="32">
        <v>25.0</v>
      </c>
      <c r="BD32" s="32">
        <v>25.0</v>
      </c>
      <c r="BE32" s="32">
        <v>25.0</v>
      </c>
      <c r="BF32" s="32">
        <v>24.0</v>
      </c>
      <c r="BG32" s="32">
        <v>25.0</v>
      </c>
      <c r="BH32" s="32">
        <v>25.0</v>
      </c>
      <c r="BI32" s="32">
        <v>25.0</v>
      </c>
      <c r="BJ32" s="32">
        <v>25.0</v>
      </c>
      <c r="BK32" s="32">
        <v>25.0</v>
      </c>
      <c r="BL32" s="32">
        <v>20.0</v>
      </c>
      <c r="BM32" s="32">
        <v>20.0</v>
      </c>
      <c r="BN32" s="32">
        <v>20.0</v>
      </c>
      <c r="BO32" s="31"/>
    </row>
    <row r="33">
      <c r="A33" s="25" t="s">
        <v>45</v>
      </c>
      <c r="B33" s="25" t="s">
        <v>89</v>
      </c>
      <c r="C33" s="26">
        <v>46055.0</v>
      </c>
      <c r="D33" s="33" t="s">
        <v>90</v>
      </c>
      <c r="E33" s="5">
        <v>60.0</v>
      </c>
      <c r="G33" s="29">
        <v>85.0</v>
      </c>
      <c r="H33" s="6">
        <v>85.0</v>
      </c>
      <c r="I33" s="5">
        <v>85.0</v>
      </c>
      <c r="J33" s="5">
        <v>85.0</v>
      </c>
      <c r="K33" s="5">
        <v>85.0</v>
      </c>
      <c r="L33" s="5">
        <v>85.0</v>
      </c>
      <c r="M33" s="5">
        <v>85.0</v>
      </c>
      <c r="N33" s="5">
        <v>85.0</v>
      </c>
      <c r="O33" s="5">
        <v>85.0</v>
      </c>
      <c r="P33" s="38">
        <v>85.0</v>
      </c>
      <c r="Q33" s="5">
        <v>85.0</v>
      </c>
      <c r="R33" s="5">
        <v>85.0</v>
      </c>
      <c r="S33" s="5">
        <v>85.0</v>
      </c>
      <c r="T33" s="5">
        <v>85.0</v>
      </c>
      <c r="U33" s="5">
        <v>85.0</v>
      </c>
      <c r="V33" s="5">
        <v>85.0</v>
      </c>
      <c r="W33" s="5">
        <v>85.0</v>
      </c>
      <c r="X33" s="5">
        <v>85.0</v>
      </c>
      <c r="Y33" s="5">
        <v>85.0</v>
      </c>
      <c r="Z33" s="5">
        <v>85.0</v>
      </c>
      <c r="AA33" s="5">
        <v>85.0</v>
      </c>
      <c r="AB33" s="5">
        <v>85.0</v>
      </c>
      <c r="AC33" s="5">
        <v>83.0</v>
      </c>
      <c r="AD33" s="5">
        <v>83.0</v>
      </c>
      <c r="AE33" s="5">
        <v>83.0</v>
      </c>
      <c r="AF33" s="5">
        <v>18.0</v>
      </c>
      <c r="AG33" s="5">
        <v>18.0</v>
      </c>
      <c r="AH33" s="5">
        <v>18.0</v>
      </c>
      <c r="AI33" s="5">
        <v>18.0</v>
      </c>
      <c r="AJ33" s="5">
        <v>18.0</v>
      </c>
      <c r="AK33" s="31">
        <v>18.0</v>
      </c>
      <c r="AL33" s="32">
        <v>18.0</v>
      </c>
      <c r="AM33" s="32">
        <v>18.0</v>
      </c>
      <c r="AN33" s="32">
        <v>18.0</v>
      </c>
      <c r="AO33" s="32">
        <v>18.0</v>
      </c>
      <c r="AP33" s="32">
        <v>18.0</v>
      </c>
      <c r="AQ33" s="32">
        <v>18.0</v>
      </c>
      <c r="AR33" s="32">
        <v>18.0</v>
      </c>
      <c r="AS33" s="32">
        <v>18.0</v>
      </c>
      <c r="AT33" s="32">
        <v>18.0</v>
      </c>
      <c r="AU33" s="32">
        <v>18.0</v>
      </c>
      <c r="AV33" s="32">
        <v>18.0</v>
      </c>
      <c r="AW33" s="32">
        <v>18.0</v>
      </c>
      <c r="AX33" s="32">
        <v>18.0</v>
      </c>
      <c r="AY33" s="32">
        <v>18.0</v>
      </c>
      <c r="AZ33" s="32">
        <v>18.0</v>
      </c>
      <c r="BA33" s="32">
        <v>18.0</v>
      </c>
      <c r="BB33" s="32">
        <v>18.0</v>
      </c>
      <c r="BC33" s="32">
        <v>18.0</v>
      </c>
      <c r="BD33" s="32">
        <v>18.0</v>
      </c>
      <c r="BE33" s="32">
        <v>18.0</v>
      </c>
      <c r="BF33" s="32">
        <v>18.0</v>
      </c>
      <c r="BG33" s="32">
        <v>18.0</v>
      </c>
      <c r="BH33" s="32">
        <v>18.0</v>
      </c>
      <c r="BI33" s="32">
        <v>18.0</v>
      </c>
      <c r="BJ33" s="32">
        <v>18.0</v>
      </c>
      <c r="BK33" s="32">
        <v>18.0</v>
      </c>
      <c r="BL33" s="32">
        <v>18.0</v>
      </c>
      <c r="BM33" s="32">
        <v>18.0</v>
      </c>
      <c r="BN33" s="32">
        <v>18.0</v>
      </c>
      <c r="BO33" s="31"/>
    </row>
    <row r="34">
      <c r="A34" s="25" t="s">
        <v>46</v>
      </c>
      <c r="B34" s="26">
        <v>46205.0</v>
      </c>
      <c r="C34" s="26">
        <v>46023.0</v>
      </c>
      <c r="D34" s="26">
        <v>46305.0</v>
      </c>
      <c r="G34" s="29">
        <v>10.0</v>
      </c>
      <c r="H34" s="6">
        <v>10.0</v>
      </c>
      <c r="I34" s="5">
        <v>10.0</v>
      </c>
      <c r="J34" s="5">
        <v>10.0</v>
      </c>
      <c r="K34" s="5">
        <v>10.0</v>
      </c>
      <c r="L34" s="5">
        <v>10.0</v>
      </c>
      <c r="M34" s="5">
        <v>20.0</v>
      </c>
      <c r="N34" s="5">
        <v>20.0</v>
      </c>
      <c r="O34" s="5">
        <v>20.0</v>
      </c>
      <c r="P34" s="38">
        <v>20.0</v>
      </c>
      <c r="Q34" s="5">
        <v>20.0</v>
      </c>
      <c r="R34" s="5">
        <v>20.0</v>
      </c>
      <c r="S34" s="5">
        <v>10.0</v>
      </c>
      <c r="T34" s="5">
        <v>10.0</v>
      </c>
      <c r="U34" s="5">
        <v>10.0</v>
      </c>
      <c r="V34" s="5">
        <v>10.0</v>
      </c>
      <c r="W34" s="5">
        <v>10.0</v>
      </c>
      <c r="X34" s="5">
        <v>10.0</v>
      </c>
      <c r="Y34" s="5">
        <v>10.0</v>
      </c>
      <c r="Z34" s="5">
        <v>10.0</v>
      </c>
      <c r="AA34" s="5">
        <v>10.0</v>
      </c>
      <c r="AB34" s="5">
        <v>10.0</v>
      </c>
      <c r="AC34" s="5">
        <v>10.0</v>
      </c>
      <c r="AD34" s="5">
        <v>10.0</v>
      </c>
      <c r="AE34" s="5">
        <v>10.0</v>
      </c>
      <c r="AF34" s="5">
        <v>10.0</v>
      </c>
      <c r="AG34" s="5">
        <v>10.0</v>
      </c>
      <c r="AH34" s="5">
        <v>10.0</v>
      </c>
      <c r="AI34" s="5">
        <v>10.0</v>
      </c>
      <c r="AJ34" s="5">
        <v>10.0</v>
      </c>
      <c r="AK34" s="31">
        <v>10.0</v>
      </c>
      <c r="AL34" s="32">
        <v>10.0</v>
      </c>
      <c r="AM34" s="32">
        <v>10.0</v>
      </c>
      <c r="AN34" s="32">
        <v>10.0</v>
      </c>
      <c r="AO34" s="32">
        <v>10.0</v>
      </c>
      <c r="AP34" s="32">
        <v>10.0</v>
      </c>
      <c r="AQ34" s="32">
        <v>10.0</v>
      </c>
      <c r="AR34" s="32">
        <v>10.0</v>
      </c>
      <c r="AS34" s="32">
        <v>10.0</v>
      </c>
      <c r="AT34" s="32">
        <v>10.0</v>
      </c>
      <c r="AU34" s="32">
        <v>10.0</v>
      </c>
      <c r="AV34" s="32">
        <v>10.0</v>
      </c>
      <c r="AW34" s="32">
        <v>10.0</v>
      </c>
      <c r="AX34" s="32">
        <v>10.0</v>
      </c>
      <c r="AY34" s="32">
        <v>10.0</v>
      </c>
      <c r="AZ34" s="32">
        <v>10.0</v>
      </c>
      <c r="BA34" s="32">
        <v>10.0</v>
      </c>
      <c r="BB34" s="32">
        <v>10.0</v>
      </c>
      <c r="BC34" s="32">
        <v>10.0</v>
      </c>
      <c r="BD34" s="32">
        <v>10.0</v>
      </c>
      <c r="BE34" s="32">
        <v>10.0</v>
      </c>
      <c r="BF34" s="32">
        <v>10.0</v>
      </c>
      <c r="BG34" s="32">
        <v>10.0</v>
      </c>
      <c r="BH34" s="32">
        <v>10.0</v>
      </c>
      <c r="BI34" s="32">
        <v>10.0</v>
      </c>
      <c r="BJ34" s="32">
        <v>10.0</v>
      </c>
      <c r="BK34" s="32">
        <v>10.0</v>
      </c>
      <c r="BL34" s="32">
        <v>10.0</v>
      </c>
      <c r="BM34" s="32">
        <v>10.0</v>
      </c>
      <c r="BN34" s="32">
        <v>10.0</v>
      </c>
      <c r="BO34" s="31"/>
    </row>
    <row r="35">
      <c r="A35" s="25" t="s">
        <v>47</v>
      </c>
      <c r="B35" s="25" t="s">
        <v>91</v>
      </c>
      <c r="C35" s="26">
        <v>46023.0</v>
      </c>
      <c r="D35" s="25" t="s">
        <v>92</v>
      </c>
      <c r="G35" s="29">
        <v>20.0</v>
      </c>
      <c r="H35" s="6">
        <v>45.0</v>
      </c>
      <c r="I35" s="5">
        <v>20.0</v>
      </c>
      <c r="J35" s="5">
        <v>20.0</v>
      </c>
      <c r="K35" s="5">
        <v>20.0</v>
      </c>
      <c r="L35" s="5">
        <v>20.0</v>
      </c>
      <c r="M35" s="5">
        <v>20.0</v>
      </c>
      <c r="N35" s="5">
        <v>20.0</v>
      </c>
      <c r="O35" s="5">
        <v>20.0</v>
      </c>
      <c r="P35" s="38">
        <v>20.0</v>
      </c>
      <c r="Q35" s="5">
        <v>20.0</v>
      </c>
      <c r="R35" s="5">
        <v>20.0</v>
      </c>
      <c r="S35" s="5">
        <v>20.0</v>
      </c>
      <c r="T35" s="5">
        <v>20.0</v>
      </c>
      <c r="U35" s="5">
        <v>20.0</v>
      </c>
      <c r="V35" s="5">
        <v>20.0</v>
      </c>
      <c r="W35" s="5">
        <v>20.0</v>
      </c>
      <c r="X35" s="5">
        <v>20.0</v>
      </c>
      <c r="Y35" s="5">
        <v>20.0</v>
      </c>
      <c r="Z35" s="5">
        <v>20.0</v>
      </c>
      <c r="AA35" s="5">
        <v>20.0</v>
      </c>
      <c r="AB35" s="5">
        <v>20.0</v>
      </c>
      <c r="AC35" s="5">
        <v>20.0</v>
      </c>
      <c r="AD35" s="5">
        <v>20.0</v>
      </c>
      <c r="AE35" s="5">
        <v>20.0</v>
      </c>
      <c r="AF35" s="5">
        <v>20.0</v>
      </c>
      <c r="AG35" s="5">
        <v>20.0</v>
      </c>
      <c r="AH35" s="5">
        <v>20.0</v>
      </c>
      <c r="AI35" s="5">
        <v>20.0</v>
      </c>
      <c r="AJ35" s="5">
        <v>20.0</v>
      </c>
      <c r="AK35" s="31">
        <v>20.0</v>
      </c>
      <c r="AL35" s="32">
        <v>20.0</v>
      </c>
      <c r="AM35" s="32">
        <v>20.0</v>
      </c>
      <c r="AN35" s="32">
        <v>20.0</v>
      </c>
      <c r="AO35" s="32">
        <v>20.0</v>
      </c>
      <c r="AP35" s="32">
        <v>20.0</v>
      </c>
      <c r="AQ35" s="32">
        <v>20.0</v>
      </c>
      <c r="AR35" s="32">
        <v>20.0</v>
      </c>
      <c r="AS35" s="32">
        <v>20.0</v>
      </c>
      <c r="AT35" s="32">
        <v>20.0</v>
      </c>
      <c r="AU35" s="32">
        <v>20.0</v>
      </c>
      <c r="AV35" s="32">
        <v>20.0</v>
      </c>
      <c r="AW35" s="32">
        <v>20.0</v>
      </c>
      <c r="AX35" s="32">
        <v>20.0</v>
      </c>
      <c r="AY35" s="32">
        <v>20.0</v>
      </c>
      <c r="AZ35" s="32">
        <v>20.0</v>
      </c>
      <c r="BA35" s="32">
        <v>20.0</v>
      </c>
      <c r="BB35" s="32">
        <v>20.0</v>
      </c>
      <c r="BC35" s="32">
        <v>20.0</v>
      </c>
      <c r="BD35" s="32">
        <v>20.0</v>
      </c>
      <c r="BE35" s="32">
        <v>20.0</v>
      </c>
      <c r="BF35" s="32">
        <v>20.0</v>
      </c>
      <c r="BG35" s="32">
        <v>20.0</v>
      </c>
      <c r="BH35" s="32">
        <v>20.0</v>
      </c>
      <c r="BI35" s="32">
        <v>20.0</v>
      </c>
      <c r="BJ35" s="32">
        <v>20.0</v>
      </c>
      <c r="BK35" s="32">
        <v>20.0</v>
      </c>
      <c r="BL35" s="32">
        <v>18.0</v>
      </c>
      <c r="BM35" s="32">
        <v>18.0</v>
      </c>
      <c r="BN35" s="32">
        <v>18.0</v>
      </c>
      <c r="BO35" s="31"/>
    </row>
    <row r="36">
      <c r="A36" s="25" t="s">
        <v>48</v>
      </c>
      <c r="B36" s="26">
        <v>46204.0</v>
      </c>
      <c r="C36" s="25" t="s">
        <v>93</v>
      </c>
      <c r="D36" s="25" t="s">
        <v>94</v>
      </c>
      <c r="G36" s="29">
        <v>10.0</v>
      </c>
      <c r="H36" s="6">
        <v>10.0</v>
      </c>
      <c r="I36" s="5">
        <v>10.0</v>
      </c>
      <c r="J36" s="5">
        <v>10.0</v>
      </c>
      <c r="K36" s="5">
        <v>10.0</v>
      </c>
      <c r="L36" s="5">
        <v>10.0</v>
      </c>
      <c r="M36" s="5">
        <v>10.0</v>
      </c>
      <c r="N36" s="5">
        <v>10.0</v>
      </c>
      <c r="O36" s="5">
        <v>10.0</v>
      </c>
      <c r="P36" s="38">
        <v>10.0</v>
      </c>
      <c r="Q36" s="5">
        <v>10.0</v>
      </c>
      <c r="R36" s="5">
        <v>10.0</v>
      </c>
      <c r="S36" s="5">
        <v>10.0</v>
      </c>
      <c r="T36" s="5">
        <v>10.0</v>
      </c>
      <c r="U36" s="5">
        <v>10.0</v>
      </c>
      <c r="V36" s="5">
        <v>10.0</v>
      </c>
      <c r="W36" s="5">
        <v>10.0</v>
      </c>
      <c r="X36" s="5">
        <v>10.0</v>
      </c>
      <c r="Y36" s="5">
        <v>10.0</v>
      </c>
      <c r="Z36" s="5">
        <v>10.0</v>
      </c>
      <c r="AA36" s="5">
        <v>10.0</v>
      </c>
      <c r="AB36" s="5">
        <v>10.0</v>
      </c>
      <c r="AC36" s="5">
        <v>10.0</v>
      </c>
      <c r="AD36" s="5">
        <v>10.0</v>
      </c>
      <c r="AE36" s="5">
        <v>10.0</v>
      </c>
      <c r="AF36" s="5">
        <v>10.0</v>
      </c>
      <c r="AG36" s="5">
        <v>10.0</v>
      </c>
      <c r="AH36" s="5">
        <v>10.0</v>
      </c>
      <c r="AI36" s="5">
        <v>10.0</v>
      </c>
      <c r="AJ36" s="5">
        <v>10.0</v>
      </c>
      <c r="AK36" s="31">
        <v>10.0</v>
      </c>
      <c r="AL36" s="32">
        <v>10.0</v>
      </c>
      <c r="AM36" s="32">
        <v>10.0</v>
      </c>
      <c r="AN36" s="32">
        <v>10.0</v>
      </c>
      <c r="AO36" s="32">
        <v>10.0</v>
      </c>
      <c r="AP36" s="32">
        <v>10.0</v>
      </c>
      <c r="AQ36" s="32">
        <v>10.0</v>
      </c>
      <c r="AR36" s="32">
        <v>10.0</v>
      </c>
      <c r="AS36" s="32">
        <v>10.0</v>
      </c>
      <c r="AT36" s="32">
        <v>10.0</v>
      </c>
      <c r="AU36" s="32">
        <v>10.0</v>
      </c>
      <c r="AV36" s="32">
        <v>10.0</v>
      </c>
      <c r="AW36" s="32">
        <v>10.0</v>
      </c>
      <c r="AX36" s="32">
        <v>10.0</v>
      </c>
      <c r="AY36" s="32">
        <v>10.0</v>
      </c>
      <c r="AZ36" s="32">
        <v>10.0</v>
      </c>
      <c r="BA36" s="32">
        <v>10.0</v>
      </c>
      <c r="BB36" s="32">
        <v>10.0</v>
      </c>
      <c r="BC36" s="32">
        <v>10.0</v>
      </c>
      <c r="BD36" s="32">
        <v>10.0</v>
      </c>
      <c r="BE36" s="32">
        <v>10.0</v>
      </c>
      <c r="BF36" s="32">
        <v>10.0</v>
      </c>
      <c r="BG36" s="32">
        <v>10.0</v>
      </c>
      <c r="BH36" s="32">
        <v>10.0</v>
      </c>
      <c r="BI36" s="32">
        <v>10.0</v>
      </c>
      <c r="BJ36" s="32">
        <v>10.0</v>
      </c>
      <c r="BK36" s="32">
        <v>10.0</v>
      </c>
      <c r="BL36" s="32">
        <v>10.0</v>
      </c>
      <c r="BM36" s="32">
        <v>10.0</v>
      </c>
      <c r="BN36" s="32">
        <v>10.0</v>
      </c>
      <c r="BO36" s="31"/>
    </row>
    <row r="37">
      <c r="A37" s="25" t="s">
        <v>49</v>
      </c>
      <c r="B37" s="26">
        <v>46205.0</v>
      </c>
      <c r="C37" s="26">
        <v>46023.0</v>
      </c>
      <c r="D37" s="25" t="s">
        <v>95</v>
      </c>
      <c r="G37" s="29">
        <v>10.0</v>
      </c>
      <c r="H37" s="6">
        <v>10.0</v>
      </c>
      <c r="I37" s="5">
        <v>10.0</v>
      </c>
      <c r="J37" s="5">
        <v>10.0</v>
      </c>
      <c r="K37" s="5">
        <v>10.0</v>
      </c>
      <c r="L37" s="5">
        <v>10.0</v>
      </c>
      <c r="M37" s="5">
        <v>10.0</v>
      </c>
      <c r="N37" s="5">
        <v>10.0</v>
      </c>
      <c r="O37" s="5">
        <v>10.0</v>
      </c>
      <c r="P37" s="38">
        <v>10.0</v>
      </c>
      <c r="Q37" s="5">
        <v>10.0</v>
      </c>
      <c r="R37" s="5">
        <v>10.0</v>
      </c>
      <c r="S37" s="5">
        <v>10.0</v>
      </c>
      <c r="T37" s="5">
        <v>10.0</v>
      </c>
      <c r="U37" s="5">
        <v>10.0</v>
      </c>
      <c r="V37" s="5">
        <v>10.0</v>
      </c>
      <c r="W37" s="5">
        <v>10.0</v>
      </c>
      <c r="X37" s="5">
        <v>10.0</v>
      </c>
      <c r="Y37" s="5">
        <v>10.0</v>
      </c>
      <c r="Z37" s="5">
        <v>10.0</v>
      </c>
      <c r="AA37" s="5">
        <v>10.0</v>
      </c>
      <c r="AB37" s="5">
        <v>10.0</v>
      </c>
      <c r="AC37" s="5">
        <v>10.0</v>
      </c>
      <c r="AD37" s="5">
        <v>10.0</v>
      </c>
      <c r="AE37" s="5">
        <v>10.0</v>
      </c>
      <c r="AF37" s="5">
        <v>10.0</v>
      </c>
      <c r="AG37" s="5">
        <v>10.0</v>
      </c>
      <c r="AH37" s="5">
        <v>10.0</v>
      </c>
      <c r="AI37" s="5">
        <v>10.0</v>
      </c>
      <c r="AJ37" s="5">
        <v>10.0</v>
      </c>
      <c r="AK37" s="31">
        <v>10.0</v>
      </c>
      <c r="AL37" s="32">
        <v>10.0</v>
      </c>
      <c r="AM37" s="32">
        <v>10.0</v>
      </c>
      <c r="AN37" s="32">
        <v>10.0</v>
      </c>
      <c r="AO37" s="32">
        <v>10.0</v>
      </c>
      <c r="AP37" s="32">
        <v>10.0</v>
      </c>
      <c r="AQ37" s="32">
        <v>10.0</v>
      </c>
      <c r="AR37" s="32">
        <v>10.0</v>
      </c>
      <c r="AS37" s="32">
        <v>10.0</v>
      </c>
      <c r="AT37" s="32">
        <v>10.0</v>
      </c>
      <c r="AU37" s="32">
        <v>10.0</v>
      </c>
      <c r="AV37" s="32">
        <v>10.0</v>
      </c>
      <c r="AW37" s="32">
        <v>10.0</v>
      </c>
      <c r="AX37" s="32">
        <v>10.0</v>
      </c>
      <c r="AY37" s="32">
        <v>10.0</v>
      </c>
      <c r="AZ37" s="32">
        <v>10.0</v>
      </c>
      <c r="BA37" s="32">
        <v>10.0</v>
      </c>
      <c r="BB37" s="32">
        <v>10.0</v>
      </c>
      <c r="BC37" s="32">
        <v>10.0</v>
      </c>
      <c r="BD37" s="32">
        <v>10.0</v>
      </c>
      <c r="BE37" s="32">
        <v>10.0</v>
      </c>
      <c r="BF37" s="32">
        <v>10.0</v>
      </c>
      <c r="BG37" s="32">
        <v>10.0</v>
      </c>
      <c r="BH37" s="32">
        <v>10.0</v>
      </c>
      <c r="BI37" s="32">
        <v>10.0</v>
      </c>
      <c r="BJ37" s="32">
        <v>10.0</v>
      </c>
      <c r="BK37" s="32">
        <v>10.0</v>
      </c>
      <c r="BL37" s="32">
        <v>10.0</v>
      </c>
      <c r="BM37" s="32">
        <v>10.0</v>
      </c>
      <c r="BN37" s="32">
        <v>10.0</v>
      </c>
      <c r="BO37" s="31"/>
    </row>
    <row r="38">
      <c r="A38" s="25" t="s">
        <v>50</v>
      </c>
      <c r="B38" s="26">
        <v>46205.0</v>
      </c>
      <c r="C38" s="26">
        <v>46023.0</v>
      </c>
      <c r="D38" s="25" t="s">
        <v>95</v>
      </c>
      <c r="G38" s="29">
        <v>10.0</v>
      </c>
      <c r="H38" s="6">
        <v>10.0</v>
      </c>
      <c r="I38" s="5">
        <v>10.0</v>
      </c>
      <c r="J38" s="5">
        <v>10.0</v>
      </c>
      <c r="K38" s="5">
        <v>10.0</v>
      </c>
      <c r="L38" s="5">
        <v>10.0</v>
      </c>
      <c r="M38" s="5">
        <v>10.0</v>
      </c>
      <c r="N38" s="5">
        <v>10.0</v>
      </c>
      <c r="O38" s="5">
        <v>10.0</v>
      </c>
      <c r="P38" s="38">
        <v>10.0</v>
      </c>
      <c r="Q38" s="5">
        <v>10.0</v>
      </c>
      <c r="R38" s="5">
        <v>10.0</v>
      </c>
      <c r="S38" s="5">
        <v>10.0</v>
      </c>
      <c r="T38" s="5">
        <v>10.0</v>
      </c>
      <c r="U38" s="5">
        <v>10.0</v>
      </c>
      <c r="V38" s="5">
        <v>10.0</v>
      </c>
      <c r="W38" s="5">
        <v>10.0</v>
      </c>
      <c r="X38" s="5">
        <v>10.0</v>
      </c>
      <c r="Y38" s="5">
        <v>10.0</v>
      </c>
      <c r="Z38" s="5">
        <v>10.0</v>
      </c>
      <c r="AA38" s="5">
        <v>10.0</v>
      </c>
      <c r="AB38" s="5">
        <v>10.0</v>
      </c>
      <c r="AC38" s="5">
        <v>10.0</v>
      </c>
      <c r="AD38" s="5">
        <v>10.0</v>
      </c>
      <c r="AE38" s="5">
        <v>10.0</v>
      </c>
      <c r="AF38" s="5">
        <v>10.0</v>
      </c>
      <c r="AG38" s="5">
        <v>10.0</v>
      </c>
      <c r="AH38" s="5">
        <v>10.0</v>
      </c>
      <c r="AI38" s="5">
        <v>10.0</v>
      </c>
      <c r="AJ38" s="5">
        <v>10.0</v>
      </c>
      <c r="AK38" s="31">
        <v>10.0</v>
      </c>
      <c r="AL38" s="32">
        <v>10.0</v>
      </c>
      <c r="AM38" s="32">
        <v>14.0</v>
      </c>
      <c r="AN38" s="32">
        <v>14.0</v>
      </c>
      <c r="AO38" s="32">
        <v>14.0</v>
      </c>
      <c r="AP38" s="32">
        <v>10.0</v>
      </c>
      <c r="AQ38" s="32">
        <v>10.0</v>
      </c>
      <c r="AR38" s="32">
        <v>16.0</v>
      </c>
      <c r="AS38" s="32">
        <v>18.0</v>
      </c>
      <c r="AT38" s="32">
        <v>18.0</v>
      </c>
      <c r="AU38" s="32">
        <v>18.0</v>
      </c>
      <c r="AV38" s="32">
        <v>20.0</v>
      </c>
      <c r="AW38" s="32">
        <v>20.0</v>
      </c>
      <c r="AX38" s="32">
        <v>20.0</v>
      </c>
      <c r="AY38" s="32">
        <v>20.0</v>
      </c>
      <c r="AZ38" s="32">
        <v>20.0</v>
      </c>
      <c r="BA38" s="32">
        <v>20.0</v>
      </c>
      <c r="BB38" s="32">
        <v>20.0</v>
      </c>
      <c r="BC38" s="32">
        <v>22.0</v>
      </c>
      <c r="BD38" s="32">
        <v>22.0</v>
      </c>
      <c r="BE38" s="32">
        <v>22.0</v>
      </c>
      <c r="BF38" s="32">
        <v>22.0</v>
      </c>
      <c r="BG38" s="32">
        <v>22.0</v>
      </c>
      <c r="BH38" s="32">
        <v>22.0</v>
      </c>
      <c r="BI38" s="32">
        <v>22.0</v>
      </c>
      <c r="BJ38" s="32">
        <v>22.0</v>
      </c>
      <c r="BK38" s="32">
        <v>22.0</v>
      </c>
      <c r="BL38" s="32">
        <v>22.0</v>
      </c>
      <c r="BM38" s="32">
        <v>22.0</v>
      </c>
      <c r="BN38" s="32">
        <v>22.0</v>
      </c>
      <c r="BO38" s="31"/>
    </row>
    <row r="39">
      <c r="A39" s="6" t="s">
        <v>96</v>
      </c>
      <c r="G39" s="29">
        <v>170.0</v>
      </c>
      <c r="H39" s="14"/>
      <c r="I39" s="5">
        <v>170.0</v>
      </c>
      <c r="J39" s="5">
        <v>170.0</v>
      </c>
      <c r="K39" s="5">
        <v>170.0</v>
      </c>
      <c r="L39" s="5">
        <v>170.0</v>
      </c>
      <c r="M39" s="5">
        <v>170.0</v>
      </c>
      <c r="N39" s="5">
        <v>170.0</v>
      </c>
      <c r="O39" s="5">
        <v>170.0</v>
      </c>
      <c r="P39" s="38">
        <v>170.0</v>
      </c>
      <c r="Q39" s="5">
        <v>170.0</v>
      </c>
      <c r="R39" s="5">
        <v>170.0</v>
      </c>
      <c r="S39" s="5">
        <v>170.0</v>
      </c>
      <c r="T39" s="5">
        <v>170.0</v>
      </c>
      <c r="U39" s="5">
        <v>170.0</v>
      </c>
      <c r="V39" s="5">
        <v>170.0</v>
      </c>
      <c r="W39" s="5">
        <v>170.0</v>
      </c>
      <c r="X39" s="5">
        <v>170.0</v>
      </c>
      <c r="Y39" s="5">
        <v>170.0</v>
      </c>
      <c r="Z39" s="5">
        <v>170.0</v>
      </c>
      <c r="AA39" s="5">
        <v>170.0</v>
      </c>
      <c r="AB39" s="5">
        <v>170.0</v>
      </c>
      <c r="AC39" s="5">
        <v>170.0</v>
      </c>
      <c r="AD39" s="5">
        <v>170.0</v>
      </c>
      <c r="AE39" s="5">
        <v>170.0</v>
      </c>
      <c r="AF39" s="5">
        <v>170.0</v>
      </c>
      <c r="AG39" s="5">
        <v>170.0</v>
      </c>
      <c r="AH39" s="5">
        <v>20.0</v>
      </c>
      <c r="AI39" s="5">
        <v>20.0</v>
      </c>
      <c r="AJ39" s="5">
        <v>20.0</v>
      </c>
      <c r="AK39" s="31">
        <v>20.0</v>
      </c>
      <c r="AL39" s="32">
        <v>20.0</v>
      </c>
      <c r="AM39" s="32">
        <v>20.0</v>
      </c>
      <c r="AN39" s="32">
        <v>20.0</v>
      </c>
      <c r="AO39" s="32">
        <v>20.0</v>
      </c>
      <c r="AP39" s="32">
        <v>20.0</v>
      </c>
      <c r="AQ39" s="32">
        <v>20.0</v>
      </c>
      <c r="AR39" s="32">
        <v>20.0</v>
      </c>
      <c r="AS39" s="32">
        <v>20.0</v>
      </c>
      <c r="AT39" s="32">
        <v>20.0</v>
      </c>
      <c r="AU39" s="32">
        <v>20.0</v>
      </c>
      <c r="AV39" s="32">
        <v>20.0</v>
      </c>
      <c r="AW39" s="32">
        <v>20.0</v>
      </c>
      <c r="AX39" s="32">
        <v>20.0</v>
      </c>
      <c r="AY39" s="32">
        <v>150.0</v>
      </c>
      <c r="AZ39" s="32">
        <v>150.0</v>
      </c>
      <c r="BA39" s="32">
        <v>150.0</v>
      </c>
      <c r="BB39" s="32">
        <v>150.0</v>
      </c>
      <c r="BC39" s="32">
        <v>150.0</v>
      </c>
      <c r="BD39" s="32">
        <v>150.0</v>
      </c>
      <c r="BE39" s="32">
        <v>150.0</v>
      </c>
      <c r="BF39" s="32">
        <v>150.0</v>
      </c>
      <c r="BG39" s="32">
        <v>150.0</v>
      </c>
      <c r="BH39" s="32">
        <v>150.0</v>
      </c>
      <c r="BI39" s="32">
        <v>102.0</v>
      </c>
      <c r="BJ39" s="32">
        <v>90.0</v>
      </c>
      <c r="BK39" s="32">
        <v>90.0</v>
      </c>
      <c r="BL39" s="32">
        <v>90.0</v>
      </c>
      <c r="BM39" s="32">
        <v>90.0</v>
      </c>
      <c r="BN39" s="32">
        <v>90.0</v>
      </c>
      <c r="BO39" s="31"/>
    </row>
    <row r="40">
      <c r="A40" s="5" t="s">
        <v>51</v>
      </c>
      <c r="H40" s="14"/>
      <c r="P40" s="15"/>
      <c r="BI40" s="5"/>
    </row>
    <row r="41">
      <c r="H41" s="14"/>
      <c r="P41" s="15"/>
    </row>
    <row r="42">
      <c r="H42" s="14"/>
      <c r="P42" s="15"/>
      <c r="AY42" s="39"/>
    </row>
    <row r="43">
      <c r="H43" s="14"/>
      <c r="P43" s="15"/>
      <c r="AY43" s="39"/>
    </row>
    <row r="44">
      <c r="H44" s="14"/>
      <c r="P44" s="15"/>
      <c r="AY44" s="39"/>
    </row>
    <row r="45">
      <c r="H45" s="14"/>
      <c r="P45" s="15"/>
      <c r="AY45" s="39"/>
    </row>
    <row r="46">
      <c r="H46" s="14"/>
      <c r="P46" s="15"/>
      <c r="AY46" s="39"/>
    </row>
    <row r="47">
      <c r="H47" s="14"/>
      <c r="P47" s="15"/>
      <c r="AY47" s="39"/>
    </row>
    <row r="48">
      <c r="H48" s="14"/>
      <c r="P48" s="15"/>
      <c r="AY48" s="39"/>
    </row>
    <row r="49">
      <c r="H49" s="14"/>
      <c r="P49" s="15"/>
      <c r="AR49" s="40"/>
      <c r="AS49" s="41"/>
      <c r="AY49" s="39"/>
    </row>
    <row r="50">
      <c r="H50" s="14"/>
      <c r="P50" s="15"/>
      <c r="AY50" s="39"/>
    </row>
    <row r="51">
      <c r="H51" s="14"/>
      <c r="P51" s="15"/>
      <c r="AY51" s="39"/>
    </row>
    <row r="52">
      <c r="H52" s="14"/>
      <c r="P52" s="15"/>
      <c r="AY52" s="39"/>
    </row>
    <row r="53">
      <c r="H53" s="14"/>
      <c r="P53" s="15"/>
      <c r="AY53" s="39"/>
    </row>
    <row r="54">
      <c r="H54" s="14"/>
      <c r="P54" s="15"/>
      <c r="AY54" s="39"/>
    </row>
    <row r="55">
      <c r="H55" s="14"/>
      <c r="P55" s="15"/>
      <c r="AY55" s="39"/>
    </row>
    <row r="56">
      <c r="H56" s="14"/>
      <c r="P56" s="15"/>
      <c r="AT56" s="39"/>
      <c r="AY56" s="39"/>
    </row>
    <row r="57">
      <c r="H57" s="14"/>
      <c r="P57" s="15"/>
      <c r="AT57" s="39"/>
      <c r="AY57" s="39"/>
    </row>
    <row r="58">
      <c r="H58" s="14"/>
      <c r="P58" s="15"/>
      <c r="AT58" s="39"/>
      <c r="AY58" s="42"/>
    </row>
    <row r="59">
      <c r="H59" s="14"/>
      <c r="P59" s="15"/>
      <c r="AT59" s="39"/>
      <c r="AY59" s="39"/>
    </row>
    <row r="60">
      <c r="H60" s="14"/>
      <c r="P60" s="15"/>
      <c r="AT60" s="39"/>
      <c r="AY60" s="39"/>
    </row>
    <row r="61">
      <c r="H61" s="14"/>
      <c r="P61" s="15"/>
      <c r="AT61" s="39"/>
      <c r="AY61" s="39"/>
    </row>
    <row r="62">
      <c r="H62" s="14"/>
      <c r="P62" s="15"/>
      <c r="AT62" s="39"/>
      <c r="AU62" s="39"/>
      <c r="AY62" s="39"/>
    </row>
    <row r="63">
      <c r="H63" s="14"/>
      <c r="P63" s="15"/>
      <c r="AT63" s="39"/>
      <c r="AU63" s="39"/>
      <c r="AY63" s="39"/>
    </row>
    <row r="64">
      <c r="H64" s="14"/>
      <c r="P64" s="15"/>
      <c r="AT64" s="39"/>
      <c r="AU64" s="39"/>
      <c r="AY64" s="39"/>
    </row>
    <row r="65">
      <c r="H65" s="14"/>
      <c r="P65" s="15"/>
      <c r="AT65" s="39"/>
      <c r="AU65" s="39"/>
      <c r="AY65" s="39"/>
    </row>
    <row r="66">
      <c r="H66" s="14"/>
      <c r="P66" s="15"/>
      <c r="AT66" s="39"/>
      <c r="AU66" s="39"/>
      <c r="AY66" s="39"/>
    </row>
    <row r="67">
      <c r="H67" s="14"/>
      <c r="P67" s="15"/>
      <c r="AT67" s="39"/>
      <c r="AU67" s="39"/>
      <c r="AY67" s="39"/>
    </row>
    <row r="68">
      <c r="H68" s="14"/>
      <c r="P68" s="15"/>
      <c r="AT68" s="39"/>
      <c r="AU68" s="39"/>
      <c r="AY68" s="39"/>
    </row>
    <row r="69">
      <c r="H69" s="14"/>
      <c r="P69" s="15"/>
      <c r="AT69" s="39"/>
      <c r="AU69" s="39"/>
      <c r="AY69" s="39"/>
    </row>
    <row r="70">
      <c r="H70" s="14"/>
      <c r="P70" s="15"/>
      <c r="AT70" s="39"/>
      <c r="AU70" s="39"/>
      <c r="AY70" s="39"/>
    </row>
    <row r="71">
      <c r="H71" s="14"/>
      <c r="P71" s="15"/>
      <c r="AT71" s="39"/>
      <c r="AU71" s="39"/>
      <c r="AY71" s="39"/>
    </row>
    <row r="72">
      <c r="H72" s="14"/>
      <c r="P72" s="15"/>
      <c r="AT72" s="42"/>
      <c r="AU72" s="39"/>
      <c r="AY72" s="39"/>
    </row>
    <row r="73">
      <c r="H73" s="14"/>
      <c r="P73" s="15"/>
      <c r="AT73" s="39"/>
      <c r="AU73" s="39"/>
    </row>
    <row r="74">
      <c r="H74" s="14"/>
      <c r="P74" s="15"/>
      <c r="AT74" s="39"/>
      <c r="AU74" s="39"/>
    </row>
    <row r="75">
      <c r="H75" s="14"/>
      <c r="P75" s="15"/>
      <c r="AT75" s="39"/>
      <c r="AU75" s="39"/>
    </row>
    <row r="76">
      <c r="H76" s="14"/>
      <c r="P76" s="15"/>
      <c r="AT76" s="39"/>
      <c r="AU76" s="39"/>
    </row>
    <row r="77">
      <c r="H77" s="14"/>
      <c r="P77" s="15"/>
      <c r="AT77" s="39"/>
      <c r="AU77" s="39"/>
    </row>
    <row r="78">
      <c r="H78" s="14"/>
      <c r="P78" s="15"/>
      <c r="AT78" s="39"/>
      <c r="AU78" s="39"/>
    </row>
    <row r="79">
      <c r="H79" s="14"/>
      <c r="P79" s="15"/>
      <c r="AT79" s="39"/>
      <c r="AU79" s="39"/>
    </row>
    <row r="80">
      <c r="H80" s="14"/>
      <c r="P80" s="15"/>
      <c r="AT80" s="39"/>
      <c r="AU80" s="39"/>
    </row>
    <row r="81">
      <c r="H81" s="14"/>
      <c r="P81" s="15"/>
      <c r="AT81" s="39"/>
      <c r="AU81" s="39"/>
    </row>
    <row r="82">
      <c r="H82" s="14"/>
      <c r="P82" s="15"/>
      <c r="AT82" s="39"/>
      <c r="AU82" s="39"/>
    </row>
    <row r="83">
      <c r="H83" s="14"/>
      <c r="P83" s="15"/>
      <c r="AT83" s="39"/>
      <c r="AU83" s="39"/>
    </row>
    <row r="84">
      <c r="H84" s="14"/>
      <c r="P84" s="15"/>
      <c r="AT84" s="39"/>
      <c r="AU84" s="39"/>
    </row>
    <row r="85">
      <c r="H85" s="14"/>
      <c r="P85" s="15"/>
      <c r="AT85" s="39"/>
      <c r="AU85" s="39"/>
    </row>
    <row r="86">
      <c r="H86" s="14"/>
      <c r="P86" s="15"/>
      <c r="AT86" s="39"/>
      <c r="AU86" s="39"/>
    </row>
    <row r="87">
      <c r="H87" s="14"/>
      <c r="P87" s="15"/>
      <c r="AT87" s="43"/>
      <c r="AU87" s="39"/>
    </row>
    <row r="88">
      <c r="H88" s="14"/>
      <c r="P88" s="15"/>
      <c r="AU88" s="39"/>
    </row>
    <row r="89">
      <c r="H89" s="14"/>
      <c r="P89" s="15"/>
      <c r="AU89" s="44"/>
    </row>
    <row r="90">
      <c r="H90" s="14"/>
      <c r="P90" s="15"/>
      <c r="AU90" s="39"/>
    </row>
    <row r="91">
      <c r="H91" s="14"/>
      <c r="P91" s="15"/>
      <c r="AU91" s="43"/>
    </row>
    <row r="92">
      <c r="H92" s="14"/>
      <c r="P92" s="15"/>
      <c r="AU92" s="44"/>
    </row>
    <row r="93">
      <c r="H93" s="14"/>
      <c r="P93" s="15"/>
    </row>
    <row r="94">
      <c r="H94" s="14"/>
      <c r="P94" s="15"/>
    </row>
    <row r="95">
      <c r="H95" s="14"/>
      <c r="P95" s="15"/>
    </row>
    <row r="96">
      <c r="H96" s="14"/>
      <c r="P96" s="15"/>
    </row>
    <row r="97">
      <c r="H97" s="14"/>
      <c r="P97" s="15"/>
    </row>
    <row r="98">
      <c r="H98" s="14"/>
      <c r="P98" s="15"/>
    </row>
    <row r="99">
      <c r="H99" s="14"/>
      <c r="P99" s="15"/>
    </row>
    <row r="100">
      <c r="H100" s="14"/>
      <c r="P100" s="15"/>
    </row>
    <row r="101">
      <c r="H101" s="14"/>
      <c r="P101" s="15"/>
    </row>
    <row r="102">
      <c r="H102" s="14"/>
      <c r="P102" s="15"/>
    </row>
    <row r="103">
      <c r="H103" s="14"/>
      <c r="P103" s="15"/>
    </row>
    <row r="104">
      <c r="H104" s="14"/>
      <c r="P104" s="15"/>
    </row>
    <row r="105">
      <c r="H105" s="14"/>
      <c r="P105" s="15"/>
    </row>
    <row r="106">
      <c r="H106" s="14"/>
      <c r="P106" s="15"/>
    </row>
    <row r="107">
      <c r="H107" s="14"/>
      <c r="P107" s="15"/>
    </row>
    <row r="108">
      <c r="H108" s="14"/>
      <c r="P108" s="15"/>
    </row>
    <row r="109">
      <c r="H109" s="14"/>
      <c r="P109" s="15"/>
    </row>
    <row r="110">
      <c r="H110" s="14"/>
      <c r="P110" s="15"/>
    </row>
    <row r="111">
      <c r="H111" s="14"/>
      <c r="P111" s="15"/>
    </row>
    <row r="112">
      <c r="H112" s="14"/>
      <c r="P112" s="15"/>
    </row>
    <row r="113">
      <c r="H113" s="14"/>
      <c r="P113" s="15"/>
    </row>
    <row r="114">
      <c r="H114" s="14"/>
      <c r="P114" s="15"/>
    </row>
    <row r="115">
      <c r="H115" s="14"/>
      <c r="P115" s="15"/>
    </row>
    <row r="116">
      <c r="H116" s="14"/>
      <c r="P116" s="15"/>
    </row>
    <row r="117">
      <c r="H117" s="14"/>
      <c r="P117" s="15"/>
    </row>
    <row r="118">
      <c r="H118" s="14"/>
      <c r="P118" s="15"/>
    </row>
    <row r="119">
      <c r="H119" s="14"/>
      <c r="P119" s="15"/>
    </row>
    <row r="120">
      <c r="H120" s="14"/>
      <c r="P120" s="15"/>
    </row>
    <row r="121">
      <c r="H121" s="14"/>
      <c r="P121" s="15"/>
    </row>
    <row r="122">
      <c r="H122" s="14"/>
      <c r="P122" s="15"/>
    </row>
    <row r="123">
      <c r="H123" s="14"/>
      <c r="P123" s="15"/>
    </row>
    <row r="124">
      <c r="H124" s="14"/>
      <c r="P124" s="15"/>
    </row>
    <row r="125">
      <c r="H125" s="14"/>
      <c r="P125" s="15"/>
    </row>
    <row r="126">
      <c r="H126" s="14"/>
      <c r="P126" s="15"/>
    </row>
    <row r="127">
      <c r="H127" s="14"/>
      <c r="P127" s="15"/>
    </row>
    <row r="128">
      <c r="H128" s="14"/>
      <c r="P128" s="15"/>
    </row>
    <row r="129">
      <c r="H129" s="14"/>
      <c r="P129" s="15"/>
    </row>
    <row r="130">
      <c r="H130" s="14"/>
      <c r="P130" s="15"/>
    </row>
    <row r="131">
      <c r="H131" s="14"/>
      <c r="P131" s="15"/>
    </row>
    <row r="132">
      <c r="H132" s="14"/>
      <c r="P132" s="15"/>
    </row>
    <row r="133">
      <c r="H133" s="14"/>
      <c r="P133" s="15"/>
    </row>
    <row r="134">
      <c r="H134" s="14"/>
      <c r="P134" s="15"/>
    </row>
    <row r="135">
      <c r="H135" s="14"/>
      <c r="P135" s="15"/>
    </row>
    <row r="136">
      <c r="H136" s="14"/>
      <c r="P136" s="15"/>
    </row>
    <row r="137">
      <c r="H137" s="14"/>
      <c r="P137" s="15"/>
    </row>
    <row r="138">
      <c r="H138" s="14"/>
      <c r="P138" s="15"/>
    </row>
    <row r="139">
      <c r="H139" s="14"/>
      <c r="P139" s="15"/>
    </row>
    <row r="140">
      <c r="H140" s="14"/>
      <c r="P140" s="15"/>
    </row>
    <row r="141">
      <c r="H141" s="14"/>
      <c r="P141" s="15"/>
    </row>
    <row r="142">
      <c r="H142" s="14"/>
      <c r="P142" s="15"/>
    </row>
    <row r="143">
      <c r="H143" s="14"/>
      <c r="P143" s="15"/>
    </row>
    <row r="144">
      <c r="H144" s="14"/>
      <c r="P144" s="15"/>
    </row>
    <row r="145">
      <c r="H145" s="14"/>
      <c r="P145" s="15"/>
    </row>
    <row r="146">
      <c r="H146" s="14"/>
      <c r="P146" s="15"/>
    </row>
    <row r="147">
      <c r="H147" s="14"/>
      <c r="P147" s="15"/>
    </row>
    <row r="148">
      <c r="H148" s="14"/>
      <c r="P148" s="15"/>
    </row>
    <row r="149">
      <c r="H149" s="14"/>
      <c r="P149" s="15"/>
    </row>
    <row r="150">
      <c r="H150" s="14"/>
      <c r="P150" s="15"/>
    </row>
    <row r="151">
      <c r="H151" s="14"/>
      <c r="P151" s="15"/>
    </row>
    <row r="152">
      <c r="H152" s="14"/>
      <c r="P152" s="15"/>
    </row>
    <row r="153">
      <c r="H153" s="14"/>
      <c r="P153" s="15"/>
    </row>
    <row r="154">
      <c r="H154" s="14"/>
      <c r="P154" s="15"/>
    </row>
    <row r="155">
      <c r="H155" s="14"/>
      <c r="P155" s="15"/>
    </row>
    <row r="156">
      <c r="H156" s="14"/>
      <c r="P156" s="15"/>
    </row>
    <row r="157">
      <c r="H157" s="14"/>
      <c r="P157" s="15"/>
    </row>
    <row r="158">
      <c r="H158" s="14"/>
      <c r="P158" s="15"/>
    </row>
    <row r="159">
      <c r="H159" s="14"/>
      <c r="P159" s="15"/>
    </row>
    <row r="160">
      <c r="H160" s="14"/>
      <c r="P160" s="15"/>
    </row>
    <row r="161">
      <c r="H161" s="14"/>
      <c r="P161" s="15"/>
    </row>
    <row r="162">
      <c r="H162" s="14"/>
      <c r="P162" s="15"/>
    </row>
    <row r="163">
      <c r="H163" s="14"/>
      <c r="P163" s="15"/>
    </row>
    <row r="164">
      <c r="H164" s="14"/>
      <c r="P164" s="15"/>
    </row>
    <row r="165">
      <c r="H165" s="14"/>
      <c r="P165" s="15"/>
    </row>
    <row r="166">
      <c r="H166" s="14"/>
      <c r="P166" s="15"/>
    </row>
    <row r="167">
      <c r="H167" s="14"/>
      <c r="P167" s="15"/>
    </row>
    <row r="168">
      <c r="H168" s="14"/>
      <c r="P168" s="15"/>
    </row>
    <row r="169">
      <c r="H169" s="14"/>
      <c r="P169" s="15"/>
    </row>
    <row r="170">
      <c r="H170" s="14"/>
      <c r="P170" s="15"/>
    </row>
    <row r="171">
      <c r="H171" s="14"/>
      <c r="P171" s="15"/>
    </row>
    <row r="172">
      <c r="H172" s="14"/>
      <c r="P172" s="15"/>
    </row>
    <row r="173">
      <c r="H173" s="14"/>
      <c r="P173" s="15"/>
    </row>
    <row r="174">
      <c r="H174" s="14"/>
      <c r="P174" s="15"/>
    </row>
    <row r="175">
      <c r="H175" s="14"/>
      <c r="P175" s="15"/>
    </row>
    <row r="176">
      <c r="H176" s="14"/>
      <c r="P176" s="15"/>
    </row>
    <row r="177">
      <c r="H177" s="14"/>
      <c r="P177" s="15"/>
    </row>
    <row r="178">
      <c r="H178" s="14"/>
      <c r="P178" s="15"/>
    </row>
    <row r="179">
      <c r="H179" s="14"/>
      <c r="P179" s="15"/>
    </row>
    <row r="180">
      <c r="H180" s="14"/>
      <c r="P180" s="15"/>
    </row>
    <row r="181">
      <c r="H181" s="14"/>
      <c r="P181" s="15"/>
    </row>
    <row r="182">
      <c r="H182" s="14"/>
      <c r="P182" s="15"/>
    </row>
    <row r="183">
      <c r="H183" s="14"/>
      <c r="P183" s="15"/>
    </row>
    <row r="184">
      <c r="H184" s="14"/>
      <c r="P184" s="15"/>
    </row>
    <row r="185">
      <c r="H185" s="14"/>
      <c r="P185" s="15"/>
    </row>
    <row r="186">
      <c r="H186" s="14"/>
      <c r="P186" s="15"/>
    </row>
    <row r="187">
      <c r="H187" s="14"/>
      <c r="P187" s="15"/>
    </row>
    <row r="188">
      <c r="H188" s="14"/>
      <c r="P188" s="15"/>
    </row>
    <row r="189">
      <c r="H189" s="14"/>
      <c r="P189" s="15"/>
    </row>
    <row r="190">
      <c r="H190" s="14"/>
      <c r="P190" s="15"/>
    </row>
    <row r="191">
      <c r="H191" s="14"/>
      <c r="P191" s="15"/>
    </row>
    <row r="192">
      <c r="H192" s="14"/>
      <c r="P192" s="15"/>
    </row>
    <row r="193">
      <c r="H193" s="14"/>
      <c r="P193" s="15"/>
    </row>
    <row r="194">
      <c r="H194" s="14"/>
      <c r="P194" s="15"/>
    </row>
    <row r="195">
      <c r="H195" s="14"/>
      <c r="P195" s="15"/>
    </row>
    <row r="196">
      <c r="H196" s="14"/>
      <c r="P196" s="15"/>
    </row>
    <row r="197">
      <c r="H197" s="14"/>
      <c r="P197" s="15"/>
    </row>
    <row r="198">
      <c r="H198" s="14"/>
      <c r="P198" s="15"/>
    </row>
    <row r="199">
      <c r="H199" s="14"/>
      <c r="P199" s="15"/>
    </row>
    <row r="200">
      <c r="H200" s="14"/>
      <c r="P200" s="15"/>
    </row>
    <row r="201">
      <c r="H201" s="14"/>
      <c r="P201" s="15"/>
    </row>
    <row r="202">
      <c r="H202" s="14"/>
      <c r="P202" s="15"/>
    </row>
    <row r="203">
      <c r="H203" s="14"/>
      <c r="P203" s="15"/>
    </row>
    <row r="204">
      <c r="H204" s="14"/>
      <c r="P204" s="15"/>
    </row>
    <row r="205">
      <c r="H205" s="14"/>
      <c r="P205" s="15"/>
    </row>
    <row r="206">
      <c r="H206" s="14"/>
      <c r="P206" s="15"/>
    </row>
    <row r="207">
      <c r="H207" s="14"/>
      <c r="P207" s="15"/>
    </row>
    <row r="208">
      <c r="H208" s="14"/>
      <c r="P208" s="15"/>
    </row>
    <row r="209">
      <c r="H209" s="14"/>
      <c r="P209" s="15"/>
    </row>
    <row r="210">
      <c r="H210" s="14"/>
      <c r="P210" s="15"/>
    </row>
    <row r="211">
      <c r="H211" s="14"/>
      <c r="P211" s="15"/>
    </row>
    <row r="212">
      <c r="H212" s="14"/>
      <c r="P212" s="15"/>
    </row>
    <row r="213">
      <c r="H213" s="14"/>
      <c r="P213" s="15"/>
    </row>
    <row r="214">
      <c r="H214" s="14"/>
      <c r="P214" s="15"/>
    </row>
    <row r="215">
      <c r="H215" s="14"/>
      <c r="P215" s="15"/>
    </row>
    <row r="216">
      <c r="H216" s="14"/>
      <c r="P216" s="15"/>
    </row>
    <row r="217">
      <c r="H217" s="14"/>
      <c r="P217" s="15"/>
    </row>
    <row r="218">
      <c r="H218" s="14"/>
      <c r="P218" s="15"/>
    </row>
    <row r="219">
      <c r="H219" s="14"/>
      <c r="P219" s="15"/>
    </row>
    <row r="220">
      <c r="H220" s="14"/>
      <c r="P220" s="15"/>
    </row>
    <row r="221">
      <c r="H221" s="14"/>
      <c r="P221" s="15"/>
    </row>
    <row r="222">
      <c r="H222" s="14"/>
      <c r="P222" s="15"/>
    </row>
    <row r="223">
      <c r="H223" s="14"/>
      <c r="P223" s="15"/>
    </row>
    <row r="224">
      <c r="H224" s="14"/>
      <c r="P224" s="15"/>
    </row>
    <row r="225">
      <c r="H225" s="14"/>
      <c r="P225" s="15"/>
    </row>
    <row r="226">
      <c r="H226" s="14"/>
      <c r="P226" s="15"/>
    </row>
    <row r="227">
      <c r="H227" s="14"/>
      <c r="P227" s="15"/>
    </row>
    <row r="228">
      <c r="H228" s="14"/>
      <c r="P228" s="15"/>
    </row>
    <row r="229">
      <c r="H229" s="14"/>
      <c r="P229" s="15"/>
    </row>
    <row r="230">
      <c r="H230" s="14"/>
      <c r="P230" s="15"/>
    </row>
    <row r="231">
      <c r="H231" s="14"/>
      <c r="P231" s="15"/>
    </row>
    <row r="232">
      <c r="H232" s="14"/>
      <c r="P232" s="15"/>
    </row>
    <row r="233">
      <c r="H233" s="14"/>
      <c r="P233" s="15"/>
    </row>
    <row r="234">
      <c r="H234" s="14"/>
      <c r="P234" s="15"/>
    </row>
    <row r="235">
      <c r="H235" s="14"/>
      <c r="P235" s="15"/>
    </row>
    <row r="236">
      <c r="H236" s="14"/>
      <c r="P236" s="15"/>
    </row>
    <row r="237">
      <c r="H237" s="14"/>
      <c r="P237" s="15"/>
    </row>
    <row r="238">
      <c r="H238" s="14"/>
      <c r="P238" s="15"/>
    </row>
    <row r="239">
      <c r="H239" s="14"/>
      <c r="P239" s="15"/>
    </row>
    <row r="240">
      <c r="H240" s="14"/>
      <c r="P240" s="15"/>
    </row>
    <row r="241">
      <c r="H241" s="14"/>
      <c r="P241" s="15"/>
    </row>
    <row r="242">
      <c r="H242" s="14"/>
      <c r="P242" s="15"/>
    </row>
    <row r="243">
      <c r="H243" s="14"/>
      <c r="P243" s="15"/>
    </row>
    <row r="244">
      <c r="H244" s="14"/>
      <c r="P244" s="15"/>
    </row>
    <row r="245">
      <c r="H245" s="14"/>
      <c r="P245" s="15"/>
    </row>
    <row r="246">
      <c r="H246" s="14"/>
      <c r="P246" s="15"/>
    </row>
    <row r="247">
      <c r="H247" s="14"/>
      <c r="P247" s="15"/>
    </row>
    <row r="248">
      <c r="H248" s="14"/>
      <c r="P248" s="15"/>
    </row>
    <row r="249">
      <c r="H249" s="14"/>
      <c r="P249" s="15"/>
    </row>
    <row r="250">
      <c r="H250" s="14"/>
      <c r="P250" s="15"/>
    </row>
    <row r="251">
      <c r="H251" s="14"/>
      <c r="P251" s="15"/>
    </row>
    <row r="252">
      <c r="H252" s="14"/>
      <c r="P252" s="15"/>
    </row>
    <row r="253">
      <c r="H253" s="14"/>
      <c r="P253" s="15"/>
    </row>
    <row r="254">
      <c r="H254" s="14"/>
      <c r="P254" s="15"/>
    </row>
    <row r="255">
      <c r="H255" s="14"/>
      <c r="P255" s="15"/>
    </row>
    <row r="256">
      <c r="H256" s="14"/>
      <c r="P256" s="15"/>
    </row>
    <row r="257">
      <c r="H257" s="14"/>
      <c r="P257" s="15"/>
    </row>
    <row r="258">
      <c r="H258" s="14"/>
      <c r="P258" s="15"/>
    </row>
    <row r="259">
      <c r="H259" s="14"/>
      <c r="P259" s="15"/>
    </row>
    <row r="260">
      <c r="H260" s="14"/>
      <c r="P260" s="15"/>
    </row>
    <row r="261">
      <c r="H261" s="14"/>
      <c r="P261" s="15"/>
    </row>
    <row r="262">
      <c r="H262" s="14"/>
      <c r="P262" s="15"/>
    </row>
    <row r="263">
      <c r="H263" s="14"/>
      <c r="P263" s="15"/>
    </row>
    <row r="264">
      <c r="H264" s="14"/>
      <c r="P264" s="15"/>
    </row>
    <row r="265">
      <c r="H265" s="14"/>
      <c r="P265" s="15"/>
    </row>
    <row r="266">
      <c r="H266" s="14"/>
      <c r="P266" s="15"/>
    </row>
    <row r="267">
      <c r="H267" s="14"/>
      <c r="P267" s="15"/>
    </row>
    <row r="268">
      <c r="H268" s="14"/>
      <c r="P268" s="15"/>
    </row>
    <row r="269">
      <c r="H269" s="14"/>
      <c r="P269" s="15"/>
    </row>
    <row r="270">
      <c r="H270" s="14"/>
      <c r="P270" s="15"/>
    </row>
    <row r="271">
      <c r="H271" s="14"/>
      <c r="P271" s="15"/>
    </row>
    <row r="272">
      <c r="H272" s="14"/>
      <c r="P272" s="15"/>
    </row>
    <row r="273">
      <c r="H273" s="14"/>
      <c r="P273" s="15"/>
    </row>
    <row r="274">
      <c r="H274" s="14"/>
      <c r="P274" s="15"/>
    </row>
    <row r="275">
      <c r="H275" s="14"/>
      <c r="P275" s="15"/>
    </row>
    <row r="276">
      <c r="H276" s="14"/>
      <c r="P276" s="15"/>
    </row>
    <row r="277">
      <c r="H277" s="14"/>
      <c r="P277" s="15"/>
    </row>
    <row r="278">
      <c r="H278" s="14"/>
      <c r="P278" s="15"/>
    </row>
    <row r="279">
      <c r="H279" s="14"/>
      <c r="P279" s="15"/>
    </row>
    <row r="280">
      <c r="H280" s="14"/>
      <c r="P280" s="15"/>
    </row>
    <row r="281">
      <c r="H281" s="14"/>
      <c r="P281" s="15"/>
    </row>
    <row r="282">
      <c r="H282" s="14"/>
      <c r="P282" s="15"/>
    </row>
    <row r="283">
      <c r="H283" s="14"/>
      <c r="P283" s="15"/>
    </row>
    <row r="284">
      <c r="H284" s="14"/>
      <c r="P284" s="15"/>
    </row>
    <row r="285">
      <c r="H285" s="14"/>
      <c r="P285" s="15"/>
    </row>
    <row r="286">
      <c r="H286" s="14"/>
      <c r="P286" s="15"/>
    </row>
    <row r="287">
      <c r="H287" s="14"/>
      <c r="P287" s="15"/>
    </row>
    <row r="288">
      <c r="H288" s="14"/>
      <c r="P288" s="15"/>
    </row>
    <row r="289">
      <c r="H289" s="14"/>
      <c r="P289" s="15"/>
    </row>
    <row r="290">
      <c r="H290" s="14"/>
      <c r="P290" s="15"/>
    </row>
    <row r="291">
      <c r="H291" s="14"/>
      <c r="P291" s="15"/>
    </row>
    <row r="292">
      <c r="H292" s="14"/>
      <c r="P292" s="15"/>
    </row>
    <row r="293">
      <c r="H293" s="14"/>
      <c r="P293" s="15"/>
    </row>
    <row r="294">
      <c r="H294" s="14"/>
      <c r="P294" s="15"/>
    </row>
    <row r="295">
      <c r="H295" s="14"/>
      <c r="P295" s="15"/>
    </row>
    <row r="296">
      <c r="H296" s="14"/>
      <c r="P296" s="15"/>
    </row>
    <row r="297">
      <c r="H297" s="14"/>
      <c r="P297" s="15"/>
    </row>
    <row r="298">
      <c r="H298" s="14"/>
      <c r="P298" s="15"/>
    </row>
    <row r="299">
      <c r="H299" s="14"/>
      <c r="P299" s="15"/>
    </row>
    <row r="300">
      <c r="H300" s="14"/>
      <c r="P300" s="15"/>
    </row>
    <row r="301">
      <c r="H301" s="14"/>
      <c r="P301" s="15"/>
    </row>
    <row r="302">
      <c r="H302" s="14"/>
      <c r="P302" s="15"/>
    </row>
    <row r="303">
      <c r="H303" s="14"/>
      <c r="P303" s="15"/>
    </row>
    <row r="304">
      <c r="H304" s="14"/>
      <c r="P304" s="15"/>
    </row>
    <row r="305">
      <c r="H305" s="14"/>
      <c r="P305" s="15"/>
    </row>
    <row r="306">
      <c r="H306" s="14"/>
      <c r="P306" s="15"/>
    </row>
    <row r="307">
      <c r="H307" s="14"/>
      <c r="P307" s="15"/>
    </row>
    <row r="308">
      <c r="H308" s="14"/>
      <c r="P308" s="15"/>
    </row>
    <row r="309">
      <c r="H309" s="14"/>
      <c r="P309" s="15"/>
    </row>
    <row r="310">
      <c r="H310" s="14"/>
      <c r="P310" s="15"/>
    </row>
    <row r="311">
      <c r="H311" s="14"/>
      <c r="P311" s="15"/>
    </row>
    <row r="312">
      <c r="H312" s="14"/>
      <c r="P312" s="15"/>
    </row>
    <row r="313">
      <c r="H313" s="14"/>
      <c r="P313" s="15"/>
    </row>
    <row r="314">
      <c r="H314" s="14"/>
      <c r="P314" s="15"/>
    </row>
    <row r="315">
      <c r="H315" s="14"/>
      <c r="P315" s="15"/>
    </row>
    <row r="316">
      <c r="H316" s="14"/>
      <c r="P316" s="15"/>
    </row>
    <row r="317">
      <c r="H317" s="14"/>
      <c r="P317" s="15"/>
    </row>
    <row r="318">
      <c r="H318" s="14"/>
      <c r="P318" s="15"/>
    </row>
    <row r="319">
      <c r="H319" s="14"/>
      <c r="P319" s="15"/>
    </row>
    <row r="320">
      <c r="H320" s="14"/>
      <c r="P320" s="15"/>
    </row>
    <row r="321">
      <c r="H321" s="14"/>
      <c r="P321" s="15"/>
    </row>
    <row r="322">
      <c r="H322" s="14"/>
      <c r="P322" s="15"/>
    </row>
    <row r="323">
      <c r="H323" s="14"/>
      <c r="P323" s="15"/>
    </row>
    <row r="324">
      <c r="H324" s="14"/>
      <c r="P324" s="15"/>
    </row>
    <row r="325">
      <c r="H325" s="14"/>
      <c r="P325" s="15"/>
    </row>
    <row r="326">
      <c r="H326" s="14"/>
      <c r="P326" s="15"/>
    </row>
    <row r="327">
      <c r="H327" s="14"/>
      <c r="P327" s="15"/>
    </row>
    <row r="328">
      <c r="H328" s="14"/>
      <c r="P328" s="15"/>
    </row>
    <row r="329">
      <c r="H329" s="14"/>
      <c r="P329" s="15"/>
    </row>
    <row r="330">
      <c r="H330" s="14"/>
      <c r="P330" s="15"/>
    </row>
    <row r="331">
      <c r="H331" s="14"/>
      <c r="P331" s="15"/>
    </row>
    <row r="332">
      <c r="H332" s="14"/>
      <c r="P332" s="15"/>
    </row>
    <row r="333">
      <c r="H333" s="14"/>
      <c r="P333" s="15"/>
    </row>
    <row r="334">
      <c r="H334" s="14"/>
      <c r="P334" s="15"/>
    </row>
    <row r="335">
      <c r="H335" s="14"/>
      <c r="P335" s="15"/>
    </row>
    <row r="336">
      <c r="H336" s="14"/>
      <c r="P336" s="15"/>
    </row>
    <row r="337">
      <c r="H337" s="14"/>
      <c r="P337" s="15"/>
    </row>
    <row r="338">
      <c r="H338" s="14"/>
      <c r="P338" s="15"/>
    </row>
    <row r="339">
      <c r="H339" s="14"/>
      <c r="P339" s="15"/>
    </row>
    <row r="340">
      <c r="H340" s="14"/>
      <c r="P340" s="15"/>
    </row>
    <row r="341">
      <c r="H341" s="14"/>
      <c r="P341" s="15"/>
    </row>
    <row r="342">
      <c r="H342" s="14"/>
      <c r="P342" s="15"/>
    </row>
    <row r="343">
      <c r="H343" s="14"/>
      <c r="P343" s="15"/>
    </row>
    <row r="344">
      <c r="H344" s="14"/>
      <c r="P344" s="15"/>
    </row>
    <row r="345">
      <c r="H345" s="14"/>
      <c r="P345" s="15"/>
    </row>
    <row r="346">
      <c r="H346" s="14"/>
      <c r="P346" s="15"/>
    </row>
    <row r="347">
      <c r="H347" s="14"/>
      <c r="P347" s="15"/>
    </row>
    <row r="348">
      <c r="H348" s="14"/>
      <c r="P348" s="15"/>
    </row>
    <row r="349">
      <c r="H349" s="14"/>
      <c r="P349" s="15"/>
    </row>
    <row r="350">
      <c r="H350" s="14"/>
      <c r="P350" s="15"/>
    </row>
    <row r="351">
      <c r="H351" s="14"/>
      <c r="P351" s="15"/>
    </row>
    <row r="352">
      <c r="H352" s="14"/>
      <c r="P352" s="15"/>
    </row>
    <row r="353">
      <c r="H353" s="14"/>
      <c r="P353" s="15"/>
    </row>
    <row r="354">
      <c r="H354" s="14"/>
      <c r="P354" s="15"/>
    </row>
    <row r="355">
      <c r="H355" s="14"/>
      <c r="P355" s="15"/>
    </row>
    <row r="356">
      <c r="H356" s="14"/>
      <c r="P356" s="15"/>
    </row>
    <row r="357">
      <c r="H357" s="14"/>
      <c r="P357" s="15"/>
    </row>
    <row r="358">
      <c r="H358" s="14"/>
      <c r="P358" s="15"/>
    </row>
    <row r="359">
      <c r="H359" s="14"/>
      <c r="P359" s="15"/>
    </row>
    <row r="360">
      <c r="H360" s="14"/>
      <c r="P360" s="15"/>
    </row>
    <row r="361">
      <c r="H361" s="14"/>
      <c r="P361" s="15"/>
    </row>
    <row r="362">
      <c r="H362" s="14"/>
      <c r="P362" s="15"/>
    </row>
    <row r="363">
      <c r="H363" s="14"/>
      <c r="P363" s="15"/>
    </row>
    <row r="364">
      <c r="H364" s="14"/>
      <c r="P364" s="15"/>
    </row>
    <row r="365">
      <c r="H365" s="14"/>
      <c r="P365" s="15"/>
    </row>
    <row r="366">
      <c r="H366" s="14"/>
      <c r="P366" s="15"/>
    </row>
    <row r="367">
      <c r="H367" s="14"/>
      <c r="P367" s="15"/>
    </row>
    <row r="368">
      <c r="H368" s="14"/>
      <c r="P368" s="15"/>
    </row>
    <row r="369">
      <c r="H369" s="14"/>
      <c r="P369" s="15"/>
    </row>
    <row r="370">
      <c r="H370" s="14"/>
      <c r="P370" s="15"/>
    </row>
    <row r="371">
      <c r="H371" s="14"/>
      <c r="P371" s="15"/>
    </row>
    <row r="372">
      <c r="H372" s="14"/>
      <c r="P372" s="15"/>
    </row>
    <row r="373">
      <c r="H373" s="14"/>
      <c r="P373" s="15"/>
    </row>
    <row r="374">
      <c r="H374" s="14"/>
      <c r="P374" s="15"/>
    </row>
    <row r="375">
      <c r="H375" s="14"/>
      <c r="P375" s="15"/>
    </row>
    <row r="376">
      <c r="H376" s="14"/>
      <c r="P376" s="15"/>
    </row>
    <row r="377">
      <c r="H377" s="14"/>
      <c r="P377" s="15"/>
    </row>
    <row r="378">
      <c r="H378" s="14"/>
      <c r="P378" s="15"/>
    </row>
    <row r="379">
      <c r="H379" s="14"/>
      <c r="P379" s="15"/>
    </row>
    <row r="380">
      <c r="H380" s="14"/>
      <c r="P380" s="15"/>
    </row>
    <row r="381">
      <c r="H381" s="14"/>
      <c r="P381" s="15"/>
    </row>
    <row r="382">
      <c r="H382" s="14"/>
      <c r="P382" s="15"/>
    </row>
    <row r="383">
      <c r="H383" s="14"/>
      <c r="P383" s="15"/>
    </row>
    <row r="384">
      <c r="H384" s="14"/>
      <c r="P384" s="15"/>
    </row>
    <row r="385">
      <c r="H385" s="14"/>
      <c r="P385" s="15"/>
    </row>
    <row r="386">
      <c r="H386" s="14"/>
      <c r="P386" s="15"/>
    </row>
    <row r="387">
      <c r="H387" s="14"/>
      <c r="P387" s="15"/>
    </row>
    <row r="388">
      <c r="H388" s="14"/>
      <c r="P388" s="15"/>
    </row>
    <row r="389">
      <c r="H389" s="14"/>
      <c r="P389" s="15"/>
    </row>
    <row r="390">
      <c r="H390" s="14"/>
      <c r="P390" s="15"/>
    </row>
    <row r="391">
      <c r="H391" s="14"/>
      <c r="P391" s="15"/>
    </row>
    <row r="392">
      <c r="H392" s="14"/>
      <c r="P392" s="15"/>
    </row>
    <row r="393">
      <c r="H393" s="14"/>
      <c r="P393" s="15"/>
    </row>
    <row r="394">
      <c r="H394" s="14"/>
      <c r="P394" s="15"/>
    </row>
    <row r="395">
      <c r="H395" s="14"/>
      <c r="P395" s="15"/>
    </row>
    <row r="396">
      <c r="H396" s="14"/>
      <c r="P396" s="15"/>
    </row>
    <row r="397">
      <c r="H397" s="14"/>
      <c r="P397" s="15"/>
    </row>
    <row r="398">
      <c r="H398" s="14"/>
      <c r="P398" s="15"/>
    </row>
    <row r="399">
      <c r="H399" s="14"/>
      <c r="P399" s="15"/>
    </row>
    <row r="400">
      <c r="H400" s="14"/>
      <c r="P400" s="15"/>
    </row>
    <row r="401">
      <c r="H401" s="14"/>
      <c r="P401" s="15"/>
    </row>
    <row r="402">
      <c r="H402" s="14"/>
      <c r="P402" s="15"/>
    </row>
    <row r="403">
      <c r="H403" s="14"/>
      <c r="P403" s="15"/>
    </row>
    <row r="404">
      <c r="H404" s="14"/>
      <c r="P404" s="15"/>
    </row>
    <row r="405">
      <c r="H405" s="14"/>
      <c r="P405" s="15"/>
    </row>
    <row r="406">
      <c r="H406" s="14"/>
      <c r="P406" s="15"/>
    </row>
    <row r="407">
      <c r="H407" s="14"/>
      <c r="P407" s="15"/>
    </row>
    <row r="408">
      <c r="H408" s="14"/>
      <c r="P408" s="15"/>
    </row>
    <row r="409">
      <c r="H409" s="14"/>
      <c r="P409" s="15"/>
    </row>
    <row r="410">
      <c r="H410" s="14"/>
      <c r="P410" s="15"/>
    </row>
    <row r="411">
      <c r="H411" s="14"/>
      <c r="P411" s="15"/>
    </row>
    <row r="412">
      <c r="H412" s="14"/>
      <c r="P412" s="15"/>
    </row>
    <row r="413">
      <c r="H413" s="14"/>
      <c r="P413" s="15"/>
    </row>
    <row r="414">
      <c r="H414" s="14"/>
      <c r="P414" s="15"/>
    </row>
    <row r="415">
      <c r="H415" s="14"/>
      <c r="P415" s="15"/>
    </row>
    <row r="416">
      <c r="H416" s="14"/>
      <c r="P416" s="15"/>
    </row>
    <row r="417">
      <c r="H417" s="14"/>
      <c r="P417" s="15"/>
    </row>
    <row r="418">
      <c r="H418" s="14"/>
      <c r="P418" s="15"/>
    </row>
    <row r="419">
      <c r="H419" s="14"/>
      <c r="P419" s="15"/>
    </row>
    <row r="420">
      <c r="H420" s="14"/>
      <c r="P420" s="15"/>
    </row>
    <row r="421">
      <c r="H421" s="14"/>
      <c r="P421" s="15"/>
    </row>
    <row r="422">
      <c r="H422" s="14"/>
      <c r="P422" s="15"/>
    </row>
    <row r="423">
      <c r="H423" s="14"/>
      <c r="P423" s="15"/>
    </row>
    <row r="424">
      <c r="H424" s="14"/>
      <c r="P424" s="15"/>
    </row>
    <row r="425">
      <c r="H425" s="14"/>
      <c r="P425" s="15"/>
    </row>
    <row r="426">
      <c r="H426" s="14"/>
      <c r="P426" s="15"/>
    </row>
    <row r="427">
      <c r="H427" s="14"/>
      <c r="P427" s="15"/>
    </row>
    <row r="428">
      <c r="H428" s="14"/>
      <c r="P428" s="15"/>
    </row>
    <row r="429">
      <c r="H429" s="14"/>
      <c r="P429" s="15"/>
    </row>
    <row r="430">
      <c r="H430" s="14"/>
      <c r="P430" s="15"/>
    </row>
    <row r="431">
      <c r="H431" s="14"/>
      <c r="P431" s="15"/>
    </row>
    <row r="432">
      <c r="H432" s="14"/>
      <c r="P432" s="15"/>
    </row>
    <row r="433">
      <c r="H433" s="14"/>
      <c r="P433" s="15"/>
    </row>
    <row r="434">
      <c r="H434" s="14"/>
      <c r="P434" s="15"/>
    </row>
    <row r="435">
      <c r="H435" s="14"/>
      <c r="P435" s="15"/>
    </row>
    <row r="436">
      <c r="H436" s="14"/>
      <c r="P436" s="15"/>
    </row>
    <row r="437">
      <c r="H437" s="14"/>
      <c r="P437" s="15"/>
    </row>
    <row r="438">
      <c r="H438" s="14"/>
      <c r="P438" s="15"/>
    </row>
    <row r="439">
      <c r="H439" s="14"/>
      <c r="P439" s="15"/>
    </row>
    <row r="440">
      <c r="H440" s="14"/>
      <c r="P440" s="15"/>
    </row>
    <row r="441">
      <c r="H441" s="14"/>
      <c r="P441" s="15"/>
    </row>
    <row r="442">
      <c r="H442" s="14"/>
      <c r="P442" s="15"/>
    </row>
    <row r="443">
      <c r="H443" s="14"/>
      <c r="P443" s="15"/>
    </row>
    <row r="444">
      <c r="H444" s="14"/>
      <c r="P444" s="15"/>
    </row>
    <row r="445">
      <c r="H445" s="14"/>
      <c r="P445" s="15"/>
    </row>
    <row r="446">
      <c r="H446" s="14"/>
      <c r="P446" s="15"/>
    </row>
    <row r="447">
      <c r="H447" s="14"/>
      <c r="P447" s="15"/>
    </row>
    <row r="448">
      <c r="H448" s="14"/>
      <c r="P448" s="15"/>
    </row>
    <row r="449">
      <c r="H449" s="14"/>
      <c r="P449" s="15"/>
    </row>
    <row r="450">
      <c r="H450" s="14"/>
      <c r="P450" s="15"/>
    </row>
    <row r="451">
      <c r="H451" s="14"/>
      <c r="P451" s="15"/>
    </row>
    <row r="452">
      <c r="H452" s="14"/>
      <c r="P452" s="15"/>
    </row>
    <row r="453">
      <c r="H453" s="14"/>
      <c r="P453" s="15"/>
    </row>
    <row r="454">
      <c r="H454" s="14"/>
      <c r="P454" s="15"/>
    </row>
    <row r="455">
      <c r="H455" s="14"/>
      <c r="P455" s="15"/>
    </row>
    <row r="456">
      <c r="H456" s="14"/>
      <c r="P456" s="15"/>
    </row>
    <row r="457">
      <c r="H457" s="14"/>
      <c r="P457" s="15"/>
    </row>
    <row r="458">
      <c r="H458" s="14"/>
      <c r="P458" s="15"/>
    </row>
    <row r="459">
      <c r="H459" s="14"/>
      <c r="P459" s="15"/>
    </row>
    <row r="460">
      <c r="H460" s="14"/>
      <c r="P460" s="15"/>
    </row>
    <row r="461">
      <c r="H461" s="14"/>
      <c r="P461" s="15"/>
    </row>
    <row r="462">
      <c r="H462" s="14"/>
      <c r="P462" s="15"/>
    </row>
    <row r="463">
      <c r="H463" s="14"/>
      <c r="P463" s="15"/>
    </row>
    <row r="464">
      <c r="H464" s="14"/>
      <c r="P464" s="15"/>
    </row>
    <row r="465">
      <c r="H465" s="14"/>
      <c r="P465" s="15"/>
    </row>
    <row r="466">
      <c r="H466" s="14"/>
      <c r="P466" s="15"/>
    </row>
    <row r="467">
      <c r="H467" s="14"/>
      <c r="P467" s="15"/>
    </row>
    <row r="468">
      <c r="H468" s="14"/>
      <c r="P468" s="15"/>
    </row>
    <row r="469">
      <c r="H469" s="14"/>
      <c r="P469" s="15"/>
    </row>
    <row r="470">
      <c r="H470" s="14"/>
      <c r="P470" s="15"/>
    </row>
    <row r="471">
      <c r="H471" s="14"/>
      <c r="P471" s="15"/>
    </row>
    <row r="472">
      <c r="H472" s="14"/>
      <c r="P472" s="15"/>
    </row>
    <row r="473">
      <c r="H473" s="14"/>
      <c r="P473" s="15"/>
    </row>
    <row r="474">
      <c r="H474" s="14"/>
      <c r="P474" s="15"/>
    </row>
    <row r="475">
      <c r="H475" s="14"/>
      <c r="P475" s="15"/>
    </row>
    <row r="476">
      <c r="H476" s="14"/>
      <c r="P476" s="15"/>
    </row>
    <row r="477">
      <c r="H477" s="14"/>
      <c r="P477" s="15"/>
    </row>
    <row r="478">
      <c r="H478" s="14"/>
      <c r="P478" s="15"/>
    </row>
    <row r="479">
      <c r="H479" s="14"/>
      <c r="P479" s="15"/>
    </row>
    <row r="480">
      <c r="H480" s="14"/>
      <c r="P480" s="15"/>
    </row>
    <row r="481">
      <c r="H481" s="14"/>
      <c r="P481" s="15"/>
    </row>
    <row r="482">
      <c r="H482" s="14"/>
      <c r="P482" s="15"/>
    </row>
    <row r="483">
      <c r="H483" s="14"/>
      <c r="P483" s="15"/>
    </row>
    <row r="484">
      <c r="H484" s="14"/>
      <c r="P484" s="15"/>
    </row>
    <row r="485">
      <c r="H485" s="14"/>
      <c r="P485" s="15"/>
    </row>
    <row r="486">
      <c r="H486" s="14"/>
      <c r="P486" s="15"/>
    </row>
    <row r="487">
      <c r="H487" s="14"/>
      <c r="P487" s="15"/>
    </row>
    <row r="488">
      <c r="H488" s="14"/>
      <c r="P488" s="15"/>
    </row>
    <row r="489">
      <c r="H489" s="14"/>
      <c r="P489" s="15"/>
    </row>
    <row r="490">
      <c r="H490" s="14"/>
      <c r="P490" s="15"/>
    </row>
    <row r="491">
      <c r="H491" s="14"/>
      <c r="P491" s="15"/>
    </row>
    <row r="492">
      <c r="H492" s="14"/>
      <c r="P492" s="15"/>
    </row>
    <row r="493">
      <c r="H493" s="14"/>
      <c r="P493" s="15"/>
    </row>
    <row r="494">
      <c r="H494" s="14"/>
      <c r="P494" s="15"/>
    </row>
    <row r="495">
      <c r="H495" s="14"/>
      <c r="P495" s="15"/>
    </row>
    <row r="496">
      <c r="H496" s="14"/>
      <c r="P496" s="15"/>
    </row>
    <row r="497">
      <c r="H497" s="14"/>
      <c r="P497" s="15"/>
    </row>
    <row r="498">
      <c r="H498" s="14"/>
      <c r="P498" s="15"/>
    </row>
    <row r="499">
      <c r="H499" s="14"/>
      <c r="P499" s="15"/>
    </row>
    <row r="500">
      <c r="H500" s="14"/>
      <c r="P500" s="15"/>
    </row>
    <row r="501">
      <c r="H501" s="14"/>
      <c r="P501" s="15"/>
    </row>
    <row r="502">
      <c r="H502" s="14"/>
      <c r="P502" s="15"/>
    </row>
    <row r="503">
      <c r="H503" s="14"/>
      <c r="P503" s="15"/>
    </row>
    <row r="504">
      <c r="H504" s="14"/>
      <c r="P504" s="15"/>
    </row>
    <row r="505">
      <c r="H505" s="14"/>
      <c r="P505" s="15"/>
    </row>
    <row r="506">
      <c r="H506" s="14"/>
      <c r="P506" s="15"/>
    </row>
    <row r="507">
      <c r="H507" s="14"/>
      <c r="P507" s="15"/>
    </row>
    <row r="508">
      <c r="H508" s="14"/>
      <c r="P508" s="15"/>
    </row>
    <row r="509">
      <c r="H509" s="14"/>
      <c r="P509" s="15"/>
    </row>
    <row r="510">
      <c r="H510" s="14"/>
      <c r="P510" s="15"/>
    </row>
    <row r="511">
      <c r="H511" s="14"/>
      <c r="P511" s="15"/>
    </row>
    <row r="512">
      <c r="H512" s="14"/>
      <c r="P512" s="15"/>
    </row>
    <row r="513">
      <c r="H513" s="14"/>
      <c r="P513" s="15"/>
    </row>
    <row r="514">
      <c r="H514" s="14"/>
      <c r="P514" s="15"/>
    </row>
    <row r="515">
      <c r="H515" s="14"/>
      <c r="P515" s="15"/>
    </row>
    <row r="516">
      <c r="H516" s="14"/>
      <c r="P516" s="15"/>
    </row>
    <row r="517">
      <c r="H517" s="14"/>
      <c r="P517" s="15"/>
    </row>
    <row r="518">
      <c r="H518" s="14"/>
      <c r="P518" s="15"/>
    </row>
    <row r="519">
      <c r="H519" s="14"/>
      <c r="P519" s="15"/>
    </row>
    <row r="520">
      <c r="H520" s="14"/>
      <c r="P520" s="15"/>
    </row>
    <row r="521">
      <c r="H521" s="14"/>
      <c r="P521" s="15"/>
    </row>
    <row r="522">
      <c r="H522" s="14"/>
      <c r="P522" s="15"/>
    </row>
    <row r="523">
      <c r="H523" s="14"/>
      <c r="P523" s="15"/>
    </row>
    <row r="524">
      <c r="H524" s="14"/>
      <c r="P524" s="15"/>
    </row>
    <row r="525">
      <c r="H525" s="14"/>
      <c r="P525" s="15"/>
    </row>
    <row r="526">
      <c r="H526" s="14"/>
      <c r="P526" s="15"/>
    </row>
    <row r="527">
      <c r="H527" s="14"/>
      <c r="P527" s="15"/>
    </row>
    <row r="528">
      <c r="H528" s="14"/>
      <c r="P528" s="15"/>
    </row>
    <row r="529">
      <c r="H529" s="14"/>
      <c r="P529" s="15"/>
    </row>
    <row r="530">
      <c r="H530" s="14"/>
      <c r="P530" s="15"/>
    </row>
    <row r="531">
      <c r="H531" s="14"/>
      <c r="P531" s="15"/>
    </row>
    <row r="532">
      <c r="H532" s="14"/>
      <c r="P532" s="15"/>
    </row>
    <row r="533">
      <c r="H533" s="14"/>
      <c r="P533" s="15"/>
    </row>
    <row r="534">
      <c r="H534" s="14"/>
      <c r="P534" s="15"/>
    </row>
    <row r="535">
      <c r="H535" s="14"/>
      <c r="P535" s="15"/>
    </row>
    <row r="536">
      <c r="H536" s="14"/>
      <c r="P536" s="15"/>
    </row>
    <row r="537">
      <c r="H537" s="14"/>
      <c r="P537" s="15"/>
    </row>
    <row r="538">
      <c r="H538" s="14"/>
      <c r="P538" s="15"/>
    </row>
    <row r="539">
      <c r="H539" s="14"/>
      <c r="P539" s="15"/>
    </row>
    <row r="540">
      <c r="H540" s="14"/>
      <c r="P540" s="15"/>
    </row>
    <row r="541">
      <c r="H541" s="14"/>
      <c r="P541" s="15"/>
    </row>
    <row r="542">
      <c r="H542" s="14"/>
      <c r="P542" s="15"/>
    </row>
    <row r="543">
      <c r="H543" s="14"/>
      <c r="P543" s="15"/>
    </row>
    <row r="544">
      <c r="H544" s="14"/>
      <c r="P544" s="15"/>
    </row>
    <row r="545">
      <c r="H545" s="14"/>
      <c r="P545" s="15"/>
    </row>
    <row r="546">
      <c r="H546" s="14"/>
      <c r="P546" s="15"/>
    </row>
    <row r="547">
      <c r="H547" s="14"/>
      <c r="P547" s="15"/>
    </row>
    <row r="548">
      <c r="H548" s="14"/>
      <c r="P548" s="15"/>
    </row>
    <row r="549">
      <c r="H549" s="14"/>
      <c r="P549" s="15"/>
    </row>
    <row r="550">
      <c r="H550" s="14"/>
      <c r="P550" s="15"/>
    </row>
    <row r="551">
      <c r="H551" s="14"/>
      <c r="P551" s="15"/>
    </row>
    <row r="552">
      <c r="H552" s="14"/>
      <c r="P552" s="15"/>
    </row>
    <row r="553">
      <c r="H553" s="14"/>
      <c r="P553" s="15"/>
    </row>
    <row r="554">
      <c r="H554" s="14"/>
      <c r="P554" s="15"/>
    </row>
    <row r="555">
      <c r="H555" s="14"/>
      <c r="P555" s="15"/>
    </row>
    <row r="556">
      <c r="H556" s="14"/>
      <c r="P556" s="15"/>
    </row>
    <row r="557">
      <c r="H557" s="14"/>
      <c r="P557" s="15"/>
    </row>
    <row r="558">
      <c r="H558" s="14"/>
      <c r="P558" s="15"/>
    </row>
    <row r="559">
      <c r="H559" s="14"/>
      <c r="P559" s="15"/>
    </row>
    <row r="560">
      <c r="H560" s="14"/>
      <c r="P560" s="15"/>
    </row>
    <row r="561">
      <c r="H561" s="14"/>
      <c r="P561" s="15"/>
    </row>
    <row r="562">
      <c r="H562" s="14"/>
      <c r="P562" s="15"/>
    </row>
    <row r="563">
      <c r="H563" s="14"/>
      <c r="P563" s="15"/>
    </row>
    <row r="564">
      <c r="H564" s="14"/>
      <c r="P564" s="15"/>
    </row>
    <row r="565">
      <c r="H565" s="14"/>
      <c r="P565" s="15"/>
    </row>
    <row r="566">
      <c r="H566" s="14"/>
      <c r="P566" s="15"/>
    </row>
    <row r="567">
      <c r="H567" s="14"/>
      <c r="P567" s="15"/>
    </row>
    <row r="568">
      <c r="H568" s="14"/>
      <c r="P568" s="15"/>
    </row>
    <row r="569">
      <c r="H569" s="14"/>
      <c r="P569" s="15"/>
    </row>
    <row r="570">
      <c r="H570" s="14"/>
      <c r="P570" s="15"/>
    </row>
    <row r="571">
      <c r="H571" s="14"/>
      <c r="P571" s="15"/>
    </row>
    <row r="572">
      <c r="H572" s="14"/>
      <c r="P572" s="15"/>
    </row>
    <row r="573">
      <c r="H573" s="14"/>
      <c r="P573" s="15"/>
    </row>
    <row r="574">
      <c r="H574" s="14"/>
      <c r="P574" s="15"/>
    </row>
    <row r="575">
      <c r="H575" s="14"/>
      <c r="P575" s="15"/>
    </row>
    <row r="576">
      <c r="H576" s="14"/>
      <c r="P576" s="15"/>
    </row>
    <row r="577">
      <c r="H577" s="14"/>
      <c r="P577" s="15"/>
    </row>
    <row r="578">
      <c r="H578" s="14"/>
      <c r="P578" s="15"/>
    </row>
    <row r="579">
      <c r="H579" s="14"/>
      <c r="P579" s="15"/>
    </row>
    <row r="580">
      <c r="H580" s="14"/>
      <c r="P580" s="15"/>
    </row>
    <row r="581">
      <c r="H581" s="14"/>
      <c r="P581" s="15"/>
    </row>
    <row r="582">
      <c r="H582" s="14"/>
      <c r="P582" s="15"/>
    </row>
    <row r="583">
      <c r="H583" s="14"/>
      <c r="P583" s="15"/>
    </row>
    <row r="584">
      <c r="H584" s="14"/>
      <c r="P584" s="15"/>
    </row>
    <row r="585">
      <c r="H585" s="14"/>
      <c r="P585" s="15"/>
    </row>
    <row r="586">
      <c r="H586" s="14"/>
      <c r="P586" s="15"/>
    </row>
    <row r="587">
      <c r="H587" s="14"/>
      <c r="P587" s="15"/>
    </row>
    <row r="588">
      <c r="H588" s="14"/>
      <c r="P588" s="15"/>
    </row>
    <row r="589">
      <c r="H589" s="14"/>
      <c r="P589" s="15"/>
    </row>
    <row r="590">
      <c r="H590" s="14"/>
      <c r="P590" s="15"/>
    </row>
    <row r="591">
      <c r="H591" s="14"/>
      <c r="P591" s="15"/>
    </row>
    <row r="592">
      <c r="H592" s="14"/>
      <c r="P592" s="15"/>
    </row>
    <row r="593">
      <c r="H593" s="14"/>
      <c r="P593" s="15"/>
    </row>
    <row r="594">
      <c r="H594" s="14"/>
      <c r="P594" s="15"/>
    </row>
    <row r="595">
      <c r="H595" s="14"/>
      <c r="P595" s="15"/>
    </row>
    <row r="596">
      <c r="H596" s="14"/>
      <c r="P596" s="15"/>
    </row>
    <row r="597">
      <c r="H597" s="14"/>
      <c r="P597" s="15"/>
    </row>
    <row r="598">
      <c r="H598" s="14"/>
      <c r="P598" s="15"/>
    </row>
    <row r="599">
      <c r="H599" s="14"/>
      <c r="P599" s="15"/>
    </row>
    <row r="600">
      <c r="H600" s="14"/>
      <c r="P600" s="15"/>
    </row>
    <row r="601">
      <c r="H601" s="14"/>
      <c r="P601" s="15"/>
    </row>
    <row r="602">
      <c r="H602" s="14"/>
      <c r="P602" s="15"/>
    </row>
    <row r="603">
      <c r="H603" s="14"/>
      <c r="P603" s="15"/>
    </row>
    <row r="604">
      <c r="H604" s="14"/>
      <c r="P604" s="15"/>
    </row>
    <row r="605">
      <c r="H605" s="14"/>
      <c r="P605" s="15"/>
    </row>
    <row r="606">
      <c r="H606" s="14"/>
      <c r="P606" s="15"/>
    </row>
    <row r="607">
      <c r="H607" s="14"/>
      <c r="P607" s="15"/>
    </row>
    <row r="608">
      <c r="H608" s="14"/>
      <c r="P608" s="15"/>
    </row>
    <row r="609">
      <c r="H609" s="14"/>
      <c r="P609" s="15"/>
    </row>
    <row r="610">
      <c r="H610" s="14"/>
      <c r="P610" s="15"/>
    </row>
    <row r="611">
      <c r="H611" s="14"/>
      <c r="P611" s="15"/>
    </row>
    <row r="612">
      <c r="H612" s="14"/>
      <c r="P612" s="15"/>
    </row>
    <row r="613">
      <c r="H613" s="14"/>
      <c r="P613" s="15"/>
    </row>
    <row r="614">
      <c r="H614" s="14"/>
      <c r="P614" s="15"/>
    </row>
    <row r="615">
      <c r="H615" s="14"/>
      <c r="P615" s="15"/>
    </row>
    <row r="616">
      <c r="H616" s="14"/>
      <c r="P616" s="15"/>
    </row>
    <row r="617">
      <c r="H617" s="14"/>
      <c r="P617" s="15"/>
    </row>
    <row r="618">
      <c r="H618" s="14"/>
      <c r="P618" s="15"/>
    </row>
    <row r="619">
      <c r="H619" s="14"/>
      <c r="P619" s="15"/>
    </row>
    <row r="620">
      <c r="H620" s="14"/>
      <c r="P620" s="15"/>
    </row>
    <row r="621">
      <c r="H621" s="14"/>
      <c r="P621" s="15"/>
    </row>
    <row r="622">
      <c r="H622" s="14"/>
      <c r="P622" s="15"/>
    </row>
    <row r="623">
      <c r="H623" s="14"/>
      <c r="P623" s="15"/>
    </row>
    <row r="624">
      <c r="H624" s="14"/>
      <c r="P624" s="15"/>
    </row>
    <row r="625">
      <c r="H625" s="14"/>
      <c r="P625" s="15"/>
    </row>
    <row r="626">
      <c r="H626" s="14"/>
      <c r="P626" s="15"/>
    </row>
    <row r="627">
      <c r="H627" s="14"/>
      <c r="P627" s="15"/>
    </row>
    <row r="628">
      <c r="H628" s="14"/>
      <c r="P628" s="15"/>
    </row>
    <row r="629">
      <c r="H629" s="14"/>
      <c r="P629" s="15"/>
    </row>
    <row r="630">
      <c r="H630" s="14"/>
      <c r="P630" s="15"/>
    </row>
    <row r="631">
      <c r="H631" s="14"/>
      <c r="P631" s="15"/>
    </row>
    <row r="632">
      <c r="H632" s="14"/>
      <c r="P632" s="15"/>
    </row>
    <row r="633">
      <c r="H633" s="14"/>
      <c r="P633" s="15"/>
    </row>
    <row r="634">
      <c r="H634" s="14"/>
      <c r="P634" s="15"/>
    </row>
    <row r="635">
      <c r="H635" s="14"/>
      <c r="P635" s="15"/>
    </row>
    <row r="636">
      <c r="H636" s="14"/>
      <c r="P636" s="15"/>
    </row>
    <row r="637">
      <c r="H637" s="14"/>
      <c r="P637" s="15"/>
    </row>
    <row r="638">
      <c r="H638" s="14"/>
      <c r="P638" s="15"/>
    </row>
    <row r="639">
      <c r="H639" s="14"/>
      <c r="P639" s="15"/>
    </row>
    <row r="640">
      <c r="H640" s="14"/>
      <c r="P640" s="15"/>
    </row>
    <row r="641">
      <c r="H641" s="14"/>
      <c r="P641" s="15"/>
    </row>
    <row r="642">
      <c r="H642" s="14"/>
      <c r="P642" s="15"/>
    </row>
    <row r="643">
      <c r="H643" s="14"/>
      <c r="P643" s="15"/>
    </row>
    <row r="644">
      <c r="H644" s="14"/>
      <c r="P644" s="15"/>
    </row>
    <row r="645">
      <c r="H645" s="14"/>
      <c r="P645" s="15"/>
    </row>
    <row r="646">
      <c r="H646" s="14"/>
      <c r="P646" s="15"/>
    </row>
    <row r="647">
      <c r="H647" s="14"/>
      <c r="P647" s="15"/>
    </row>
    <row r="648">
      <c r="H648" s="14"/>
      <c r="P648" s="15"/>
    </row>
    <row r="649">
      <c r="H649" s="14"/>
      <c r="P649" s="15"/>
    </row>
    <row r="650">
      <c r="H650" s="14"/>
      <c r="P650" s="15"/>
    </row>
    <row r="651">
      <c r="H651" s="14"/>
      <c r="P651" s="15"/>
    </row>
    <row r="652">
      <c r="H652" s="14"/>
      <c r="P652" s="15"/>
    </row>
    <row r="653">
      <c r="H653" s="14"/>
      <c r="P653" s="15"/>
    </row>
    <row r="654">
      <c r="H654" s="14"/>
      <c r="P654" s="15"/>
    </row>
    <row r="655">
      <c r="H655" s="14"/>
      <c r="P655" s="15"/>
    </row>
    <row r="656">
      <c r="H656" s="14"/>
      <c r="P656" s="15"/>
    </row>
    <row r="657">
      <c r="H657" s="14"/>
      <c r="P657" s="15"/>
    </row>
    <row r="658">
      <c r="H658" s="14"/>
      <c r="P658" s="15"/>
    </row>
    <row r="659">
      <c r="H659" s="14"/>
      <c r="P659" s="15"/>
    </row>
    <row r="660">
      <c r="H660" s="14"/>
      <c r="P660" s="15"/>
    </row>
    <row r="661">
      <c r="H661" s="14"/>
      <c r="P661" s="15"/>
    </row>
    <row r="662">
      <c r="H662" s="14"/>
      <c r="P662" s="15"/>
    </row>
    <row r="663">
      <c r="H663" s="14"/>
      <c r="P663" s="15"/>
    </row>
    <row r="664">
      <c r="H664" s="14"/>
      <c r="P664" s="15"/>
    </row>
    <row r="665">
      <c r="H665" s="14"/>
      <c r="P665" s="15"/>
    </row>
    <row r="666">
      <c r="H666" s="14"/>
      <c r="P666" s="15"/>
    </row>
    <row r="667">
      <c r="H667" s="14"/>
      <c r="P667" s="15"/>
    </row>
    <row r="668">
      <c r="H668" s="14"/>
      <c r="P668" s="15"/>
    </row>
    <row r="669">
      <c r="H669" s="14"/>
      <c r="P669" s="15"/>
    </row>
    <row r="670">
      <c r="H670" s="14"/>
      <c r="P670" s="15"/>
    </row>
    <row r="671">
      <c r="H671" s="14"/>
      <c r="P671" s="15"/>
    </row>
    <row r="672">
      <c r="H672" s="14"/>
      <c r="P672" s="15"/>
    </row>
    <row r="673">
      <c r="H673" s="14"/>
      <c r="P673" s="15"/>
    </row>
    <row r="674">
      <c r="H674" s="14"/>
      <c r="P674" s="15"/>
    </row>
    <row r="675">
      <c r="H675" s="14"/>
      <c r="P675" s="15"/>
    </row>
    <row r="676">
      <c r="H676" s="14"/>
      <c r="P676" s="15"/>
    </row>
    <row r="677">
      <c r="H677" s="14"/>
      <c r="P677" s="15"/>
    </row>
    <row r="678">
      <c r="H678" s="14"/>
      <c r="P678" s="15"/>
    </row>
    <row r="679">
      <c r="H679" s="14"/>
      <c r="P679" s="15"/>
    </row>
    <row r="680">
      <c r="H680" s="14"/>
      <c r="P680" s="15"/>
    </row>
    <row r="681">
      <c r="H681" s="14"/>
      <c r="P681" s="15"/>
    </row>
    <row r="682">
      <c r="H682" s="14"/>
      <c r="P682" s="15"/>
    </row>
    <row r="683">
      <c r="H683" s="14"/>
      <c r="P683" s="15"/>
    </row>
    <row r="684">
      <c r="H684" s="14"/>
      <c r="P684" s="15"/>
    </row>
    <row r="685">
      <c r="H685" s="14"/>
      <c r="P685" s="15"/>
    </row>
    <row r="686">
      <c r="H686" s="14"/>
      <c r="P686" s="15"/>
    </row>
    <row r="687">
      <c r="H687" s="14"/>
      <c r="P687" s="15"/>
    </row>
    <row r="688">
      <c r="H688" s="14"/>
      <c r="P688" s="15"/>
    </row>
    <row r="689">
      <c r="H689" s="14"/>
      <c r="P689" s="15"/>
    </row>
    <row r="690">
      <c r="H690" s="14"/>
      <c r="P690" s="15"/>
    </row>
    <row r="691">
      <c r="H691" s="14"/>
      <c r="P691" s="15"/>
    </row>
    <row r="692">
      <c r="H692" s="14"/>
      <c r="P692" s="15"/>
    </row>
    <row r="693">
      <c r="H693" s="14"/>
      <c r="P693" s="15"/>
    </row>
    <row r="694">
      <c r="H694" s="14"/>
      <c r="P694" s="15"/>
    </row>
    <row r="695">
      <c r="H695" s="14"/>
      <c r="P695" s="15"/>
    </row>
    <row r="696">
      <c r="H696" s="14"/>
      <c r="P696" s="15"/>
    </row>
    <row r="697">
      <c r="H697" s="14"/>
      <c r="P697" s="15"/>
    </row>
    <row r="698">
      <c r="H698" s="14"/>
      <c r="P698" s="15"/>
    </row>
    <row r="699">
      <c r="H699" s="14"/>
      <c r="P699" s="15"/>
    </row>
    <row r="700">
      <c r="H700" s="14"/>
      <c r="P700" s="15"/>
    </row>
    <row r="701">
      <c r="H701" s="14"/>
      <c r="P701" s="15"/>
    </row>
    <row r="702">
      <c r="H702" s="14"/>
      <c r="P702" s="15"/>
    </row>
    <row r="703">
      <c r="H703" s="14"/>
      <c r="P703" s="15"/>
    </row>
    <row r="704">
      <c r="H704" s="14"/>
      <c r="P704" s="15"/>
    </row>
    <row r="705">
      <c r="H705" s="14"/>
      <c r="P705" s="15"/>
    </row>
    <row r="706">
      <c r="H706" s="14"/>
      <c r="P706" s="15"/>
    </row>
    <row r="707">
      <c r="H707" s="14"/>
      <c r="P707" s="15"/>
    </row>
    <row r="708">
      <c r="H708" s="14"/>
      <c r="P708" s="15"/>
    </row>
    <row r="709">
      <c r="H709" s="14"/>
      <c r="P709" s="15"/>
    </row>
    <row r="710">
      <c r="H710" s="14"/>
      <c r="P710" s="15"/>
    </row>
    <row r="711">
      <c r="H711" s="14"/>
      <c r="P711" s="15"/>
    </row>
    <row r="712">
      <c r="H712" s="14"/>
      <c r="P712" s="15"/>
    </row>
    <row r="713">
      <c r="H713" s="14"/>
      <c r="P713" s="15"/>
    </row>
    <row r="714">
      <c r="H714" s="14"/>
      <c r="P714" s="15"/>
    </row>
    <row r="715">
      <c r="H715" s="14"/>
      <c r="P715" s="15"/>
    </row>
    <row r="716">
      <c r="H716" s="14"/>
      <c r="P716" s="15"/>
    </row>
    <row r="717">
      <c r="H717" s="14"/>
      <c r="P717" s="15"/>
    </row>
    <row r="718">
      <c r="H718" s="14"/>
      <c r="P718" s="15"/>
    </row>
    <row r="719">
      <c r="H719" s="14"/>
      <c r="P719" s="15"/>
    </row>
    <row r="720">
      <c r="H720" s="14"/>
      <c r="P720" s="15"/>
    </row>
    <row r="721">
      <c r="H721" s="14"/>
      <c r="P721" s="15"/>
    </row>
    <row r="722">
      <c r="H722" s="14"/>
      <c r="P722" s="15"/>
    </row>
    <row r="723">
      <c r="H723" s="14"/>
      <c r="P723" s="15"/>
    </row>
    <row r="724">
      <c r="H724" s="14"/>
      <c r="P724" s="15"/>
    </row>
    <row r="725">
      <c r="H725" s="14"/>
      <c r="P725" s="15"/>
    </row>
    <row r="726">
      <c r="H726" s="14"/>
      <c r="P726" s="15"/>
    </row>
    <row r="727">
      <c r="H727" s="14"/>
      <c r="P727" s="15"/>
    </row>
    <row r="728">
      <c r="H728" s="14"/>
      <c r="P728" s="15"/>
    </row>
    <row r="729">
      <c r="H729" s="14"/>
      <c r="P729" s="15"/>
    </row>
    <row r="730">
      <c r="H730" s="14"/>
      <c r="P730" s="15"/>
    </row>
    <row r="731">
      <c r="H731" s="14"/>
      <c r="P731" s="15"/>
    </row>
    <row r="732">
      <c r="H732" s="14"/>
      <c r="P732" s="15"/>
    </row>
    <row r="733">
      <c r="H733" s="14"/>
      <c r="P733" s="15"/>
    </row>
    <row r="734">
      <c r="H734" s="14"/>
      <c r="P734" s="15"/>
    </row>
    <row r="735">
      <c r="H735" s="14"/>
      <c r="P735" s="15"/>
    </row>
    <row r="736">
      <c r="H736" s="14"/>
      <c r="P736" s="15"/>
    </row>
    <row r="737">
      <c r="H737" s="14"/>
      <c r="P737" s="15"/>
    </row>
    <row r="738">
      <c r="H738" s="14"/>
      <c r="P738" s="15"/>
    </row>
    <row r="739">
      <c r="H739" s="14"/>
      <c r="P739" s="15"/>
    </row>
    <row r="740">
      <c r="H740" s="14"/>
      <c r="P740" s="15"/>
    </row>
    <row r="741">
      <c r="H741" s="14"/>
      <c r="P741" s="15"/>
    </row>
    <row r="742">
      <c r="H742" s="14"/>
      <c r="P742" s="15"/>
    </row>
    <row r="743">
      <c r="H743" s="14"/>
      <c r="P743" s="15"/>
    </row>
    <row r="744">
      <c r="H744" s="14"/>
      <c r="P744" s="15"/>
    </row>
    <row r="745">
      <c r="H745" s="14"/>
      <c r="P745" s="15"/>
    </row>
    <row r="746">
      <c r="H746" s="14"/>
      <c r="P746" s="15"/>
    </row>
    <row r="747">
      <c r="H747" s="14"/>
      <c r="P747" s="15"/>
    </row>
    <row r="748">
      <c r="H748" s="14"/>
      <c r="P748" s="15"/>
    </row>
    <row r="749">
      <c r="H749" s="14"/>
      <c r="P749" s="15"/>
    </row>
    <row r="750">
      <c r="H750" s="14"/>
      <c r="P750" s="15"/>
    </row>
    <row r="751">
      <c r="H751" s="14"/>
      <c r="P751" s="15"/>
    </row>
    <row r="752">
      <c r="H752" s="14"/>
      <c r="P752" s="15"/>
    </row>
    <row r="753">
      <c r="H753" s="14"/>
      <c r="P753" s="15"/>
    </row>
    <row r="754">
      <c r="H754" s="14"/>
      <c r="P754" s="15"/>
    </row>
    <row r="755">
      <c r="H755" s="14"/>
      <c r="P755" s="15"/>
    </row>
    <row r="756">
      <c r="H756" s="14"/>
      <c r="P756" s="15"/>
    </row>
    <row r="757">
      <c r="H757" s="14"/>
      <c r="P757" s="15"/>
    </row>
    <row r="758">
      <c r="H758" s="14"/>
      <c r="P758" s="15"/>
    </row>
    <row r="759">
      <c r="H759" s="14"/>
      <c r="P759" s="15"/>
    </row>
    <row r="760">
      <c r="H760" s="14"/>
      <c r="P760" s="15"/>
    </row>
    <row r="761">
      <c r="H761" s="14"/>
      <c r="P761" s="15"/>
    </row>
    <row r="762">
      <c r="H762" s="14"/>
      <c r="P762" s="15"/>
    </row>
    <row r="763">
      <c r="H763" s="14"/>
      <c r="P763" s="15"/>
    </row>
    <row r="764">
      <c r="H764" s="14"/>
      <c r="P764" s="15"/>
    </row>
    <row r="765">
      <c r="H765" s="14"/>
      <c r="P765" s="15"/>
    </row>
    <row r="766">
      <c r="H766" s="14"/>
      <c r="P766" s="15"/>
    </row>
    <row r="767">
      <c r="H767" s="14"/>
      <c r="P767" s="15"/>
    </row>
    <row r="768">
      <c r="H768" s="14"/>
      <c r="P768" s="15"/>
    </row>
    <row r="769">
      <c r="H769" s="14"/>
      <c r="P769" s="15"/>
    </row>
    <row r="770">
      <c r="H770" s="14"/>
      <c r="P770" s="15"/>
    </row>
    <row r="771">
      <c r="H771" s="14"/>
      <c r="P771" s="15"/>
    </row>
    <row r="772">
      <c r="H772" s="14"/>
      <c r="P772" s="15"/>
    </row>
    <row r="773">
      <c r="H773" s="14"/>
      <c r="P773" s="15"/>
    </row>
    <row r="774">
      <c r="H774" s="14"/>
      <c r="P774" s="15"/>
    </row>
    <row r="775">
      <c r="H775" s="14"/>
      <c r="P775" s="15"/>
    </row>
    <row r="776">
      <c r="H776" s="14"/>
      <c r="P776" s="15"/>
    </row>
    <row r="777">
      <c r="H777" s="14"/>
      <c r="P777" s="15"/>
    </row>
    <row r="778">
      <c r="H778" s="14"/>
      <c r="P778" s="15"/>
    </row>
    <row r="779">
      <c r="H779" s="14"/>
      <c r="P779" s="15"/>
    </row>
    <row r="780">
      <c r="H780" s="14"/>
      <c r="P780" s="15"/>
    </row>
    <row r="781">
      <c r="H781" s="14"/>
      <c r="P781" s="15"/>
    </row>
    <row r="782">
      <c r="H782" s="14"/>
      <c r="P782" s="15"/>
    </row>
    <row r="783">
      <c r="H783" s="14"/>
      <c r="P783" s="15"/>
    </row>
    <row r="784">
      <c r="H784" s="14"/>
      <c r="P784" s="15"/>
    </row>
    <row r="785">
      <c r="H785" s="14"/>
      <c r="P785" s="15"/>
    </row>
    <row r="786">
      <c r="H786" s="14"/>
      <c r="P786" s="15"/>
    </row>
    <row r="787">
      <c r="H787" s="14"/>
      <c r="P787" s="15"/>
    </row>
    <row r="788">
      <c r="H788" s="14"/>
      <c r="P788" s="15"/>
    </row>
    <row r="789">
      <c r="H789" s="14"/>
      <c r="P789" s="15"/>
    </row>
    <row r="790">
      <c r="H790" s="14"/>
      <c r="P790" s="15"/>
    </row>
    <row r="791">
      <c r="H791" s="14"/>
      <c r="P791" s="15"/>
    </row>
    <row r="792">
      <c r="H792" s="14"/>
      <c r="P792" s="15"/>
    </row>
    <row r="793">
      <c r="H793" s="14"/>
      <c r="P793" s="15"/>
    </row>
    <row r="794">
      <c r="H794" s="14"/>
      <c r="P794" s="15"/>
    </row>
    <row r="795">
      <c r="H795" s="14"/>
      <c r="P795" s="15"/>
    </row>
    <row r="796">
      <c r="H796" s="14"/>
      <c r="P796" s="15"/>
    </row>
    <row r="797">
      <c r="H797" s="14"/>
      <c r="P797" s="15"/>
    </row>
    <row r="798">
      <c r="H798" s="14"/>
      <c r="P798" s="15"/>
    </row>
    <row r="799">
      <c r="H799" s="14"/>
      <c r="P799" s="15"/>
    </row>
    <row r="800">
      <c r="H800" s="14"/>
      <c r="P800" s="15"/>
    </row>
    <row r="801">
      <c r="H801" s="14"/>
      <c r="P801" s="15"/>
    </row>
    <row r="802">
      <c r="H802" s="14"/>
      <c r="P802" s="15"/>
    </row>
    <row r="803">
      <c r="H803" s="14"/>
      <c r="P803" s="15"/>
    </row>
    <row r="804">
      <c r="H804" s="14"/>
      <c r="P804" s="15"/>
    </row>
    <row r="805">
      <c r="H805" s="14"/>
      <c r="P805" s="15"/>
    </row>
    <row r="806">
      <c r="H806" s="14"/>
      <c r="P806" s="15"/>
    </row>
    <row r="807">
      <c r="H807" s="14"/>
      <c r="P807" s="15"/>
    </row>
    <row r="808">
      <c r="H808" s="14"/>
      <c r="P808" s="15"/>
    </row>
    <row r="809">
      <c r="H809" s="14"/>
      <c r="P809" s="15"/>
    </row>
    <row r="810">
      <c r="H810" s="14"/>
      <c r="P810" s="15"/>
    </row>
    <row r="811">
      <c r="H811" s="14"/>
      <c r="P811" s="15"/>
    </row>
    <row r="812">
      <c r="H812" s="14"/>
      <c r="P812" s="15"/>
    </row>
    <row r="813">
      <c r="H813" s="14"/>
      <c r="P813" s="15"/>
    </row>
    <row r="814">
      <c r="H814" s="14"/>
      <c r="P814" s="15"/>
    </row>
    <row r="815">
      <c r="H815" s="14"/>
      <c r="P815" s="15"/>
    </row>
    <row r="816">
      <c r="H816" s="14"/>
      <c r="P816" s="15"/>
    </row>
    <row r="817">
      <c r="H817" s="14"/>
      <c r="P817" s="15"/>
    </row>
    <row r="818">
      <c r="H818" s="14"/>
      <c r="P818" s="15"/>
    </row>
    <row r="819">
      <c r="H819" s="14"/>
      <c r="P819" s="15"/>
    </row>
    <row r="820">
      <c r="H820" s="14"/>
      <c r="P820" s="15"/>
    </row>
    <row r="821">
      <c r="H821" s="14"/>
      <c r="P821" s="15"/>
    </row>
    <row r="822">
      <c r="H822" s="14"/>
      <c r="P822" s="15"/>
    </row>
    <row r="823">
      <c r="H823" s="14"/>
      <c r="P823" s="15"/>
    </row>
    <row r="824">
      <c r="H824" s="14"/>
      <c r="P824" s="15"/>
    </row>
    <row r="825">
      <c r="H825" s="14"/>
      <c r="P825" s="15"/>
    </row>
    <row r="826">
      <c r="H826" s="14"/>
      <c r="P826" s="15"/>
    </row>
    <row r="827">
      <c r="H827" s="14"/>
      <c r="P827" s="15"/>
    </row>
    <row r="828">
      <c r="H828" s="14"/>
      <c r="P828" s="15"/>
    </row>
    <row r="829">
      <c r="H829" s="14"/>
      <c r="P829" s="15"/>
    </row>
    <row r="830">
      <c r="H830" s="14"/>
      <c r="P830" s="15"/>
    </row>
    <row r="831">
      <c r="H831" s="14"/>
      <c r="P831" s="15"/>
    </row>
    <row r="832">
      <c r="H832" s="14"/>
      <c r="P832" s="15"/>
    </row>
    <row r="833">
      <c r="H833" s="14"/>
      <c r="P833" s="15"/>
    </row>
    <row r="834">
      <c r="H834" s="14"/>
      <c r="P834" s="15"/>
    </row>
    <row r="835">
      <c r="H835" s="14"/>
      <c r="P835" s="15"/>
    </row>
    <row r="836">
      <c r="H836" s="14"/>
      <c r="P836" s="15"/>
    </row>
    <row r="837">
      <c r="H837" s="14"/>
      <c r="P837" s="15"/>
    </row>
    <row r="838">
      <c r="H838" s="14"/>
      <c r="P838" s="15"/>
    </row>
    <row r="839">
      <c r="H839" s="14"/>
      <c r="P839" s="15"/>
    </row>
    <row r="840">
      <c r="H840" s="14"/>
      <c r="P840" s="15"/>
    </row>
    <row r="841">
      <c r="H841" s="14"/>
      <c r="P841" s="15"/>
    </row>
    <row r="842">
      <c r="H842" s="14"/>
      <c r="P842" s="15"/>
    </row>
    <row r="843">
      <c r="H843" s="14"/>
      <c r="P843" s="15"/>
    </row>
    <row r="844">
      <c r="H844" s="14"/>
      <c r="P844" s="15"/>
    </row>
    <row r="845">
      <c r="H845" s="14"/>
      <c r="P845" s="15"/>
    </row>
    <row r="846">
      <c r="H846" s="14"/>
      <c r="P846" s="15"/>
    </row>
    <row r="847">
      <c r="H847" s="14"/>
      <c r="P847" s="15"/>
    </row>
    <row r="848">
      <c r="H848" s="14"/>
      <c r="P848" s="15"/>
    </row>
    <row r="849">
      <c r="H849" s="14"/>
      <c r="P849" s="15"/>
    </row>
    <row r="850">
      <c r="H850" s="14"/>
      <c r="P850" s="15"/>
    </row>
    <row r="851">
      <c r="H851" s="14"/>
      <c r="P851" s="15"/>
    </row>
    <row r="852">
      <c r="H852" s="14"/>
      <c r="P852" s="15"/>
    </row>
    <row r="853">
      <c r="H853" s="14"/>
      <c r="P853" s="15"/>
    </row>
    <row r="854">
      <c r="H854" s="14"/>
      <c r="P854" s="15"/>
    </row>
    <row r="855">
      <c r="H855" s="14"/>
      <c r="P855" s="15"/>
    </row>
    <row r="856">
      <c r="H856" s="14"/>
      <c r="P856" s="15"/>
    </row>
    <row r="857">
      <c r="H857" s="14"/>
      <c r="P857" s="15"/>
    </row>
    <row r="858">
      <c r="H858" s="14"/>
      <c r="P858" s="15"/>
    </row>
    <row r="859">
      <c r="H859" s="14"/>
      <c r="P859" s="15"/>
    </row>
    <row r="860">
      <c r="H860" s="14"/>
      <c r="P860" s="15"/>
    </row>
    <row r="861">
      <c r="H861" s="14"/>
      <c r="P861" s="15"/>
    </row>
    <row r="862">
      <c r="H862" s="14"/>
      <c r="P862" s="15"/>
    </row>
    <row r="863">
      <c r="H863" s="14"/>
      <c r="P863" s="15"/>
    </row>
    <row r="864">
      <c r="H864" s="14"/>
      <c r="P864" s="15"/>
    </row>
    <row r="865">
      <c r="H865" s="14"/>
      <c r="P865" s="15"/>
    </row>
    <row r="866">
      <c r="H866" s="14"/>
      <c r="P866" s="15"/>
    </row>
    <row r="867">
      <c r="H867" s="14"/>
      <c r="P867" s="15"/>
    </row>
    <row r="868">
      <c r="H868" s="14"/>
      <c r="P868" s="15"/>
    </row>
    <row r="869">
      <c r="H869" s="14"/>
      <c r="P869" s="15"/>
    </row>
    <row r="870">
      <c r="H870" s="14"/>
      <c r="P870" s="15"/>
    </row>
    <row r="871">
      <c r="H871" s="14"/>
      <c r="P871" s="15"/>
    </row>
    <row r="872">
      <c r="H872" s="14"/>
      <c r="P872" s="15"/>
    </row>
    <row r="873">
      <c r="H873" s="14"/>
      <c r="P873" s="15"/>
    </row>
    <row r="874">
      <c r="H874" s="14"/>
      <c r="P874" s="15"/>
    </row>
    <row r="875">
      <c r="H875" s="14"/>
      <c r="P875" s="15"/>
    </row>
    <row r="876">
      <c r="H876" s="14"/>
      <c r="P876" s="15"/>
    </row>
    <row r="877">
      <c r="H877" s="14"/>
      <c r="P877" s="15"/>
    </row>
    <row r="878">
      <c r="H878" s="14"/>
      <c r="P878" s="15"/>
    </row>
    <row r="879">
      <c r="H879" s="14"/>
      <c r="P879" s="15"/>
    </row>
    <row r="880">
      <c r="H880" s="14"/>
      <c r="P880" s="15"/>
    </row>
    <row r="881">
      <c r="H881" s="14"/>
      <c r="P881" s="15"/>
    </row>
    <row r="882">
      <c r="H882" s="14"/>
      <c r="P882" s="15"/>
    </row>
    <row r="883">
      <c r="H883" s="14"/>
      <c r="P883" s="15"/>
    </row>
    <row r="884">
      <c r="H884" s="14"/>
      <c r="P884" s="15"/>
    </row>
    <row r="885">
      <c r="H885" s="14"/>
      <c r="P885" s="15"/>
    </row>
    <row r="886">
      <c r="H886" s="14"/>
      <c r="P886" s="15"/>
    </row>
    <row r="887">
      <c r="H887" s="14"/>
      <c r="P887" s="15"/>
    </row>
    <row r="888">
      <c r="H888" s="14"/>
      <c r="P888" s="15"/>
    </row>
    <row r="889">
      <c r="H889" s="14"/>
      <c r="P889" s="15"/>
    </row>
    <row r="890">
      <c r="H890" s="14"/>
      <c r="P890" s="15"/>
    </row>
    <row r="891">
      <c r="H891" s="14"/>
      <c r="P891" s="15"/>
    </row>
    <row r="892">
      <c r="H892" s="14"/>
      <c r="P892" s="15"/>
    </row>
    <row r="893">
      <c r="H893" s="14"/>
      <c r="P893" s="15"/>
    </row>
    <row r="894">
      <c r="H894" s="14"/>
      <c r="P894" s="15"/>
    </row>
    <row r="895">
      <c r="H895" s="14"/>
      <c r="P895" s="15"/>
    </row>
    <row r="896">
      <c r="H896" s="14"/>
      <c r="P896" s="15"/>
    </row>
    <row r="897">
      <c r="H897" s="14"/>
      <c r="P897" s="15"/>
    </row>
    <row r="898">
      <c r="H898" s="14"/>
      <c r="P898" s="15"/>
    </row>
    <row r="899">
      <c r="H899" s="14"/>
      <c r="P899" s="15"/>
    </row>
    <row r="900">
      <c r="H900" s="14"/>
      <c r="P900" s="15"/>
    </row>
    <row r="901">
      <c r="H901" s="14"/>
      <c r="P901" s="15"/>
    </row>
    <row r="902">
      <c r="H902" s="14"/>
      <c r="P902" s="15"/>
    </row>
    <row r="903">
      <c r="H903" s="14"/>
      <c r="P903" s="15"/>
    </row>
    <row r="904">
      <c r="H904" s="14"/>
      <c r="P904" s="15"/>
    </row>
    <row r="905">
      <c r="H905" s="14"/>
      <c r="P905" s="15"/>
    </row>
    <row r="906">
      <c r="H906" s="14"/>
      <c r="P906" s="15"/>
    </row>
    <row r="907">
      <c r="H907" s="14"/>
      <c r="P907" s="15"/>
    </row>
    <row r="908">
      <c r="H908" s="14"/>
      <c r="P908" s="15"/>
    </row>
    <row r="909">
      <c r="H909" s="14"/>
      <c r="P909" s="15"/>
    </row>
    <row r="910">
      <c r="H910" s="14"/>
      <c r="P910" s="15"/>
    </row>
    <row r="911">
      <c r="H911" s="14"/>
      <c r="P911" s="15"/>
    </row>
    <row r="912">
      <c r="H912" s="14"/>
      <c r="P912" s="15"/>
    </row>
    <row r="913">
      <c r="H913" s="14"/>
      <c r="P913" s="15"/>
    </row>
    <row r="914">
      <c r="H914" s="14"/>
      <c r="P914" s="15"/>
    </row>
    <row r="915">
      <c r="H915" s="14"/>
      <c r="P915" s="15"/>
    </row>
    <row r="916">
      <c r="H916" s="14"/>
      <c r="P916" s="15"/>
    </row>
    <row r="917">
      <c r="H917" s="14"/>
      <c r="P917" s="15"/>
    </row>
    <row r="918">
      <c r="H918" s="14"/>
      <c r="P918" s="15"/>
    </row>
    <row r="919">
      <c r="H919" s="14"/>
      <c r="P919" s="15"/>
    </row>
    <row r="920">
      <c r="H920" s="14"/>
      <c r="P920" s="15"/>
    </row>
    <row r="921">
      <c r="H921" s="14"/>
      <c r="P921" s="15"/>
    </row>
    <row r="922">
      <c r="H922" s="14"/>
      <c r="P922" s="15"/>
    </row>
    <row r="923">
      <c r="H923" s="14"/>
      <c r="P923" s="15"/>
    </row>
    <row r="924">
      <c r="H924" s="14"/>
      <c r="P924" s="15"/>
    </row>
    <row r="925">
      <c r="H925" s="14"/>
      <c r="P925" s="15"/>
    </row>
    <row r="926">
      <c r="H926" s="14"/>
      <c r="P926" s="15"/>
    </row>
    <row r="927">
      <c r="H927" s="14"/>
      <c r="P927" s="15"/>
    </row>
    <row r="928">
      <c r="H928" s="14"/>
      <c r="P928" s="15"/>
    </row>
    <row r="929">
      <c r="H929" s="14"/>
      <c r="P929" s="15"/>
    </row>
    <row r="930">
      <c r="H930" s="14"/>
      <c r="P930" s="15"/>
    </row>
    <row r="931">
      <c r="H931" s="14"/>
      <c r="P931" s="15"/>
    </row>
    <row r="932">
      <c r="H932" s="14"/>
      <c r="P932" s="15"/>
    </row>
    <row r="933">
      <c r="H933" s="14"/>
      <c r="P933" s="15"/>
    </row>
    <row r="934">
      <c r="H934" s="14"/>
      <c r="P934" s="15"/>
    </row>
    <row r="935">
      <c r="H935" s="14"/>
      <c r="P935" s="15"/>
    </row>
    <row r="936">
      <c r="H936" s="14"/>
      <c r="P936" s="15"/>
    </row>
    <row r="937">
      <c r="H937" s="14"/>
      <c r="P937" s="15"/>
    </row>
    <row r="938">
      <c r="H938" s="14"/>
      <c r="P938" s="15"/>
    </row>
    <row r="939">
      <c r="H939" s="14"/>
      <c r="P939" s="15"/>
    </row>
    <row r="940">
      <c r="H940" s="14"/>
      <c r="P940" s="15"/>
    </row>
    <row r="941">
      <c r="H941" s="14"/>
      <c r="P941" s="15"/>
    </row>
    <row r="942">
      <c r="H942" s="14"/>
      <c r="P942" s="15"/>
    </row>
    <row r="943">
      <c r="H943" s="14"/>
      <c r="P943" s="15"/>
    </row>
    <row r="944">
      <c r="H944" s="14"/>
      <c r="P944" s="15"/>
    </row>
    <row r="945">
      <c r="H945" s="14"/>
      <c r="P945" s="15"/>
    </row>
    <row r="946">
      <c r="H946" s="14"/>
      <c r="P946" s="15"/>
    </row>
    <row r="947">
      <c r="H947" s="14"/>
      <c r="P947" s="15"/>
    </row>
    <row r="948">
      <c r="H948" s="14"/>
      <c r="P948" s="15"/>
    </row>
    <row r="949">
      <c r="H949" s="14"/>
      <c r="P949" s="15"/>
    </row>
    <row r="950">
      <c r="H950" s="14"/>
      <c r="P950" s="15"/>
    </row>
    <row r="951">
      <c r="H951" s="14"/>
      <c r="P951" s="15"/>
    </row>
    <row r="952">
      <c r="H952" s="14"/>
      <c r="P952" s="15"/>
    </row>
    <row r="953">
      <c r="H953" s="14"/>
      <c r="P953" s="15"/>
    </row>
    <row r="954">
      <c r="H954" s="14"/>
      <c r="P954" s="15"/>
    </row>
    <row r="955">
      <c r="H955" s="14"/>
      <c r="P955" s="15"/>
    </row>
    <row r="956">
      <c r="H956" s="14"/>
      <c r="P956" s="15"/>
    </row>
    <row r="957">
      <c r="H957" s="14"/>
      <c r="P957" s="15"/>
    </row>
    <row r="958">
      <c r="H958" s="14"/>
      <c r="P958" s="15"/>
    </row>
    <row r="959">
      <c r="H959" s="14"/>
      <c r="P959" s="15"/>
    </row>
    <row r="960">
      <c r="H960" s="14"/>
      <c r="P960" s="15"/>
    </row>
    <row r="961">
      <c r="H961" s="14"/>
      <c r="P961" s="15"/>
    </row>
    <row r="962">
      <c r="H962" s="14"/>
      <c r="P962" s="15"/>
    </row>
    <row r="963">
      <c r="H963" s="14"/>
      <c r="P963" s="15"/>
    </row>
    <row r="964">
      <c r="H964" s="14"/>
      <c r="P964" s="15"/>
    </row>
    <row r="965">
      <c r="H965" s="14"/>
      <c r="P965" s="15"/>
    </row>
    <row r="966">
      <c r="H966" s="14"/>
      <c r="P966" s="15"/>
    </row>
    <row r="967">
      <c r="H967" s="14"/>
      <c r="P967" s="15"/>
    </row>
    <row r="968">
      <c r="H968" s="14"/>
      <c r="P968" s="15"/>
    </row>
    <row r="969">
      <c r="H969" s="14"/>
      <c r="P969" s="15"/>
    </row>
    <row r="970">
      <c r="H970" s="14"/>
      <c r="P970" s="15"/>
    </row>
    <row r="971">
      <c r="H971" s="14"/>
      <c r="P971" s="15"/>
    </row>
    <row r="972">
      <c r="H972" s="14"/>
      <c r="P972" s="15"/>
    </row>
    <row r="973">
      <c r="H973" s="14"/>
      <c r="P973" s="15"/>
    </row>
    <row r="974">
      <c r="H974" s="14"/>
      <c r="P974" s="15"/>
    </row>
    <row r="975">
      <c r="H975" s="14"/>
      <c r="P975" s="15"/>
    </row>
    <row r="976">
      <c r="H976" s="14"/>
      <c r="P976" s="15"/>
    </row>
    <row r="977">
      <c r="H977" s="14"/>
      <c r="P977" s="15"/>
    </row>
    <row r="978">
      <c r="H978" s="14"/>
      <c r="P978" s="15"/>
    </row>
    <row r="979">
      <c r="H979" s="14"/>
      <c r="P979" s="15"/>
    </row>
    <row r="980">
      <c r="H980" s="14"/>
      <c r="P980" s="15"/>
    </row>
    <row r="981">
      <c r="H981" s="14"/>
      <c r="P981" s="15"/>
    </row>
    <row r="982">
      <c r="H982" s="14"/>
      <c r="P982" s="15"/>
    </row>
    <row r="983">
      <c r="H983" s="14"/>
      <c r="P983" s="15"/>
    </row>
    <row r="984">
      <c r="H984" s="14"/>
      <c r="P984" s="15"/>
    </row>
    <row r="985">
      <c r="H985" s="14"/>
      <c r="P985" s="15"/>
    </row>
    <row r="986">
      <c r="H986" s="14"/>
      <c r="P986" s="15"/>
    </row>
    <row r="987">
      <c r="H987" s="14"/>
      <c r="P987" s="15"/>
    </row>
    <row r="988">
      <c r="H988" s="14"/>
      <c r="P988" s="15"/>
    </row>
    <row r="989">
      <c r="H989" s="14"/>
      <c r="P989" s="15"/>
    </row>
    <row r="990">
      <c r="H990" s="14"/>
      <c r="P990" s="15"/>
    </row>
    <row r="991">
      <c r="H991" s="14"/>
      <c r="P991" s="15"/>
    </row>
    <row r="992">
      <c r="H992" s="14"/>
      <c r="P992" s="15"/>
    </row>
    <row r="993">
      <c r="H993" s="14"/>
      <c r="P993" s="15"/>
    </row>
    <row r="994">
      <c r="H994" s="14"/>
      <c r="P994" s="15"/>
    </row>
    <row r="995">
      <c r="H995" s="14"/>
      <c r="P995" s="15"/>
    </row>
    <row r="996">
      <c r="H996" s="14"/>
      <c r="P996" s="15"/>
    </row>
    <row r="997">
      <c r="H997" s="14"/>
      <c r="P997" s="15"/>
    </row>
    <row r="998">
      <c r="H998" s="14"/>
      <c r="P998" s="15"/>
    </row>
  </sheetData>
  <drawing r:id="rId1"/>
</worksheet>
</file>