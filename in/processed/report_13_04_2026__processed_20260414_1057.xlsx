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FE91C572-E022-470D-839D-1747FB18A756}" xr6:coauthVersionLast="47" xr6:coauthVersionMax="47" xr10:uidLastSave="{00000000-0000-0000-0000-000000000000}"/>
  <bookViews>
    <workbookView xWindow="-120" yWindow="-120" windowWidth="29040" windowHeight="15840" activeTab="3" xr2:uid="{00000000-000D-0000-FFFF-FFFF00000000}"/>
  </bookViews>
  <sheets>
    <sheet name="Отчёт" sheetId="1" r:id="rId1"/>
    <sheet name="Таблица 1" sheetId="2" r:id="rId2"/>
    <sheet name="Таблица 2" sheetId="3" r:id="rId3"/>
    <sheet name="Таблица 3" sheetId="4" r:id="rId4"/>
    <sheet name="Таблица 5" sheetId="5" r:id="rId5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7" i="5" l="1"/>
  <c r="B8" i="4"/>
  <c r="C16" i="3"/>
  <c r="C8" i="3"/>
</calcChain>
</file>

<file path=xl/sharedStrings.xml><?xml version="1.0" encoding="utf-8"?>
<sst xmlns="http://schemas.openxmlformats.org/spreadsheetml/2006/main" count="347" uniqueCount="119">
  <si>
    <t>Показатель</t>
  </si>
  <si>
    <t>Значение</t>
  </si>
  <si>
    <t>Количество зарегистрированных компаний</t>
  </si>
  <si>
    <t>From</t>
  </si>
  <si>
    <t>To</t>
  </si>
  <si>
    <t>Total</t>
  </si>
  <si>
    <t>Активированная перевозка</t>
  </si>
  <si>
    <t>Деактивированная перевозка</t>
  </si>
  <si>
    <t>Завершенная перевозка</t>
  </si>
  <si>
    <t>Ожидание навешивания</t>
  </si>
  <si>
    <t>Ожидание оплаты</t>
  </si>
  <si>
    <t>Ожидание подписание акта приёма и передачи пломбы и фактическое получение</t>
  </si>
  <si>
    <t>Ожидание привязки пломб к перевозке</t>
  </si>
  <si>
    <t>Отмененная перевозка</t>
  </si>
  <si>
    <t>Планируемая перевозка</t>
  </si>
  <si>
    <t>Проект перевозки, созданный в рамках программы предварительного информирования</t>
  </si>
  <si>
    <t>KZ</t>
  </si>
  <si>
    <t>ВСЕ</t>
  </si>
  <si>
    <t>RU</t>
  </si>
  <si>
    <t>BY</t>
  </si>
  <si>
    <t>ARM</t>
  </si>
  <si>
    <t>KG</t>
  </si>
  <si>
    <t>?</t>
  </si>
  <si>
    <t>Перевозки по типам кортежей</t>
  </si>
  <si>
    <t>Перевозка товаров в рамках взаимной торговли</t>
  </si>
  <si>
    <t>Таможенная процедура таможенного транзита</t>
  </si>
  <si>
    <t>Таможенная процедура экспорта</t>
  </si>
  <si>
    <t>Аналитика по пунктам пропуска</t>
  </si>
  <si>
    <t>Количество</t>
  </si>
  <si>
    <t>Всего записей (перевозок)</t>
  </si>
  <si>
    <t>Итого</t>
  </si>
  <si>
    <t>Пункт пропуска</t>
  </si>
  <si>
    <t>Т/П "НУР ЖОЛЫ"</t>
  </si>
  <si>
    <t>→ RU</t>
  </si>
  <si>
    <t>→ BY</t>
  </si>
  <si>
    <t>→ KZ</t>
  </si>
  <si>
    <t>ТП «КАЛЖАТ»</t>
  </si>
  <si>
    <t>Т/П "КАЗЫГУРТ"</t>
  </si>
  <si>
    <t>→ KG</t>
  </si>
  <si>
    <t>ТП «АЛАКОЛЬ»</t>
  </si>
  <si>
    <t>Т/П "ТАЖЕН"</t>
  </si>
  <si>
    <t>ТП «БАХТЫ»</t>
  </si>
  <si>
    <t>Карасу</t>
  </si>
  <si>
    <t>Рудный 50 Лет Октября 142</t>
  </si>
  <si>
    <t>Т/П ИМЕНИ БАУЫРЖАНА КОНЫСБАЕВА</t>
  </si>
  <si>
    <t>Т/П "АТАМЕКЕН"</t>
  </si>
  <si>
    <t>Алматы, Жетысуский Район, Ул.казыбаева 270в</t>
  </si>
  <si>
    <t>Филип Моррис Казахстан</t>
  </si>
  <si>
    <t>Станция Тайынша</t>
  </si>
  <si>
    <t>Склад ELK</t>
  </si>
  <si>
    <t>Село Аскар Токпанов</t>
  </si>
  <si>
    <t>Тоо Геом</t>
  </si>
  <si>
    <t>ТОО "СВХ АЛАТАУ"</t>
  </si>
  <si>
    <t>ИКТТ Алматы</t>
  </si>
  <si>
    <t>ТП «МАЙКАПЧАГАЙ»</t>
  </si>
  <si>
    <t>Село Кокозек, 060-Й Учетный Квартал, 71</t>
  </si>
  <si>
    <t>Т/П "ТЕМИРЖОЛ"</t>
  </si>
  <si>
    <t>Акцепт-Терминал</t>
  </si>
  <si>
    <t>Т/П КОНАЕВ-ЦТО</t>
  </si>
  <si>
    <t>Т/П КОКШЕТАУ-ЦЕНТР ТАМОЖЕННОГО ОФОРМЛЕНИЯ</t>
  </si>
  <si>
    <t>Жармухамбет 1689</t>
  </si>
  <si>
    <t>Г Павлодар Тоо Ппс+ Ул.циолковского 140/1</t>
  </si>
  <si>
    <t>Село Береке, Центральная Улица, 1, 71 Разъезд</t>
  </si>
  <si>
    <t>г. Павлодар</t>
  </si>
  <si>
    <t>ТП «КУРЫК» ЖД</t>
  </si>
  <si>
    <t>Т/П "АЛТЫНКОЛЬ-ЖОЛ"</t>
  </si>
  <si>
    <t>Алматы, главное подразделение ИКТТ</t>
  </si>
  <si>
    <t>Ул. Геологов, 2</t>
  </si>
  <si>
    <t>ТП «ТЕМИР-БАБА»</t>
  </si>
  <si>
    <t>Товарищество с ограниченной ответственностью "Carlsberg Kazakhstan" ("Карлсберг Казахстан")</t>
  </si>
  <si>
    <t>ТАМОЖЕННЫЙ ПОСТ «СПЕЦИАЛИЗИРОВАННЫЙ ПОСТ «АКТОБЕ»</t>
  </si>
  <si>
    <t>Т/П ЖЕТIСУ</t>
  </si>
  <si>
    <t>Т/П "АУЕЖАЙ-КАРАГАНДА"</t>
  </si>
  <si>
    <t>Т/П "АКТОБЕ-ЦЕНТР ТАМОЖЕННОГО ОФОРМЛЕНИЯ"</t>
  </si>
  <si>
    <t>Село Тургень, Учетный Квартал 126</t>
  </si>
  <si>
    <t>Свх "mmaa Logistics"</t>
  </si>
  <si>
    <t>Промзона 289, Алмати</t>
  </si>
  <si>
    <t>КПП "СЫРДАРЬЯ"  Т/П "АТАМЕКЕН"</t>
  </si>
  <si>
    <t>Кордай</t>
  </si>
  <si>
    <t>Кокшетауские Минеральные Воды</t>
  </si>
  <si>
    <t>Караганда, Ул Гоголя 75</t>
  </si>
  <si>
    <t>Казахстан, Алматинская область, посёлок Боралдай, Кирпичная улица, 5</t>
  </si>
  <si>
    <t>Ао Бахус Алматы</t>
  </si>
  <si>
    <t>Актобе А</t>
  </si>
  <si>
    <t>Авторынок Барыс 3, Алматы-Бишкек Трасса, 122/5</t>
  </si>
  <si>
    <t>Статистика пломб по типам перевозки (Казахстан)</t>
  </si>
  <si>
    <t>Пункт отправления</t>
  </si>
  <si>
    <t>Г.шымкент Сайрамская, 198</t>
  </si>
  <si>
    <t>Сырым</t>
  </si>
  <si>
    <t>Таможенный Пост «Актобе – Центр Таможенного Оформления»</t>
  </si>
  <si>
    <t>Таможенный Пост «Кокшетау – Центр Таможенного Оформления»</t>
  </si>
  <si>
    <t>ТОО "FB KZ"</t>
  </si>
  <si>
    <t xml:space="preserve">ТОО "РауанНТех" </t>
  </si>
  <si>
    <t>ТП/ЖД</t>
  </si>
  <si>
    <t>РФ</t>
  </si>
  <si>
    <t>РБ</t>
  </si>
  <si>
    <t>КР</t>
  </si>
  <si>
    <t>РА</t>
  </si>
  <si>
    <t>Статистические данные экспорта и взаимной торговли из РК</t>
  </si>
  <si>
    <t>Экспорт</t>
  </si>
  <si>
    <t>№</t>
  </si>
  <si>
    <t xml:space="preserve">Страна </t>
  </si>
  <si>
    <t>Кол-во перевозок</t>
  </si>
  <si>
    <t>Российская Федерация</t>
  </si>
  <si>
    <t>Республика Беларусь</t>
  </si>
  <si>
    <t>Кыргызская Республика</t>
  </si>
  <si>
    <t>Республика Армения</t>
  </si>
  <si>
    <t>Взаимная торговля</t>
  </si>
  <si>
    <t>Страна</t>
  </si>
  <si>
    <t>Статистические данные завешенных перевозок</t>
  </si>
  <si>
    <t>Завершенные автомобильные перевозки из РК</t>
  </si>
  <si>
    <t xml:space="preserve">Направление </t>
  </si>
  <si>
    <t>В Российскую Федерацию</t>
  </si>
  <si>
    <t>В Республику Беларусь</t>
  </si>
  <si>
    <t>В Кыргызскую Республику</t>
  </si>
  <si>
    <t>В Республику Армения</t>
  </si>
  <si>
    <t>Статистика по перевозкам, направленным в сторону Республики Казахстан</t>
  </si>
  <si>
    <t xml:space="preserve">Страна начала перевозки </t>
  </si>
  <si>
    <t>Завершенные автомобильные перевозки в РК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</si>
</sst>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FF0000"/>
      <name val="Calibri"/>
      <family val="2"/>
    </font>
    <font>
      <b/>
      <sz val="11"/>
      <name val="Calibri"/>
    </font>
    <font>
      <b/>
      <sz val="11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19">
    <xf numFmtId="0" fontId="0" fillId="0" borderId="0" xfId="0" applyNumberFormat="1" applyFill="1" applyAlignment="1" applyProtection="1"/>
    <xf numFmtId="0" fontId="1" fillId="0" borderId="0" xfId="0" applyNumberFormat="1" applyFont="1" applyFill="1" applyAlignment="1" applyProtection="1"/>
    <xf numFmtId="0" fontId="2" fillId="0" borderId="0" xfId="0" applyNumberFormat="1" applyFont="1" applyFill="1" applyAlignment="1" applyProtection="1"/>
    <xf numFmtId="0" fontId="3" fillId="0" borderId="0" xfId="0" applyFont="1" applyAlignment="1">
      <alignment horizontal="center" vertical="center"/>
    </xf>
    <xf numFmtId="0" fontId="4" fillId="0" borderId="0" xfId="0" applyNumberFormat="1" applyFont="1" applyFill="1" applyAlignment="1" applyProtection="1"/>
    <xf numFmtId="0" fontId="0" fillId="0" borderId="0" xfId="0"/>
    <xf numFmtId="0" fontId="4" fillId="0" borderId="0" xfId="0" applyFont="1"/>
    <xf numFmtId="0" fontId="0" fillId="0" borderId="0" xfId="0" applyNumberFormat="1" applyFill="1" applyAlignment="1" applyProtection="1">
      <alignment horizontal="center" vertical="center"/>
    </xf>
    <xf numFmtId="0" fontId="1" fillId="2" borderId="0" xfId="0" applyNumberFormat="1" applyFont="1" applyFill="1" applyAlignment="1" applyProtection="1"/>
    <xf numFmtId="0" fontId="0" fillId="2" borderId="0" xfId="0" applyNumberFormat="1" applyFill="1" applyAlignment="1" applyProtection="1"/>
    <xf numFmtId="0" fontId="0" fillId="3" borderId="0" xfId="0" applyNumberFormat="1" applyFill="1" applyAlignment="1" applyProtection="1"/>
    <xf numFmtId="0" fontId="0" fillId="4" borderId="0" xfId="0" applyFill="1"/>
    <xf numFmtId="0" fontId="0" fillId="4" borderId="0" xfId="0" applyNumberFormat="1" applyFill="1" applyAlignment="1" applyProtection="1"/>
    <xf numFmtId="0" fontId="0" fillId="5" borderId="0" xfId="0" applyNumberFormat="1" applyFill="1" applyAlignment="1" applyProtection="1"/>
    <xf numFmtId="0" fontId="4" fillId="0" borderId="0" xfId="0" applyNumberFormat="1" applyFont="1" applyFill="1" applyAlignment="1" applyProtection="1">
      <alignment horizontal="center" vertical="center"/>
    </xf>
    <xf numFmtId="0" fontId="0" fillId="6" borderId="0" xfId="0" applyNumberFormat="1" applyFill="1" applyAlignment="1" applyProtection="1"/>
    <xf numFmtId="0" fontId="0" fillId="6" borderId="0" xfId="0" applyFill="1"/>
    <xf numFmtId="0" fontId="0" fillId="0" borderId="0" xfId="0" applyNumberFormat="1" applyFill="1" applyAlignment="1" applyProtection="1">
      <alignment horizontal="center"/>
    </xf>
    <xf numFmtId="0" fontId="4" fillId="0" borderId="0" xfId="0" applyNumberFormat="1" applyFont="1" applyFill="1" applyAlignment="1" applyProtection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4"/>
  <sheetViews>
    <sheetView topLeftCell="B1" workbookViewId="0">
      <selection activeCell="F19" sqref="F19"/>
    </sheetView>
  </sheetViews>
  <sheetFormatPr defaultRowHeight="15" x14ac:dyDescent="0.25"/>
  <cols>
    <col min="1" max="1" width="66" customWidth="1"/>
    <col min="4" max="4" width="49.28515625" customWidth="1"/>
    <col min="5" max="5" width="37.42578125" customWidth="1"/>
    <col min="6" max="6" width="33.28515625" customWidth="1"/>
  </cols>
  <sheetData>
    <row r="1" spans="1:13" x14ac:dyDescent="0.25">
      <c r="A1" s="1" t="s">
        <v>0</v>
      </c>
      <c r="B1" s="1" t="s">
        <v>1</v>
      </c>
    </row>
    <row r="2" spans="1:13" x14ac:dyDescent="0.25">
      <c r="A2" t="s">
        <v>2</v>
      </c>
      <c r="B2">
        <v>2400</v>
      </c>
    </row>
    <row r="4" spans="1:13" x14ac:dyDescent="0.25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14</v>
      </c>
      <c r="M4" s="1" t="s">
        <v>15</v>
      </c>
    </row>
    <row r="5" spans="1:13" x14ac:dyDescent="0.25">
      <c r="A5" s="1" t="s">
        <v>16</v>
      </c>
      <c r="B5" s="1" t="s">
        <v>17</v>
      </c>
      <c r="C5" s="1">
        <v>4788</v>
      </c>
      <c r="D5" s="1">
        <v>756</v>
      </c>
      <c r="E5" s="1">
        <v>0</v>
      </c>
      <c r="F5" s="1">
        <v>3688</v>
      </c>
      <c r="G5" s="1">
        <v>45</v>
      </c>
      <c r="H5" s="1">
        <v>31</v>
      </c>
      <c r="I5" s="1">
        <v>1</v>
      </c>
      <c r="J5" s="1">
        <v>2</v>
      </c>
      <c r="K5" s="1">
        <v>16</v>
      </c>
      <c r="L5" s="1">
        <v>67</v>
      </c>
      <c r="M5" s="1">
        <v>182</v>
      </c>
    </row>
    <row r="6" spans="1:13" x14ac:dyDescent="0.25">
      <c r="A6" t="s">
        <v>16</v>
      </c>
      <c r="B6" t="s">
        <v>16</v>
      </c>
      <c r="C6">
        <v>316</v>
      </c>
      <c r="D6">
        <v>26</v>
      </c>
      <c r="E6">
        <v>0</v>
      </c>
      <c r="F6">
        <v>231</v>
      </c>
      <c r="G6">
        <v>42</v>
      </c>
      <c r="H6">
        <v>3</v>
      </c>
      <c r="I6">
        <v>0</v>
      </c>
      <c r="J6">
        <v>0</v>
      </c>
      <c r="K6">
        <v>6</v>
      </c>
      <c r="L6">
        <v>4</v>
      </c>
      <c r="M6">
        <v>4</v>
      </c>
    </row>
    <row r="7" spans="1:13" x14ac:dyDescent="0.25">
      <c r="A7" t="s">
        <v>16</v>
      </c>
      <c r="B7" t="s">
        <v>18</v>
      </c>
      <c r="C7">
        <v>3388</v>
      </c>
      <c r="D7">
        <v>564</v>
      </c>
      <c r="E7">
        <v>0</v>
      </c>
      <c r="F7" s="13">
        <v>2622</v>
      </c>
      <c r="G7">
        <v>2</v>
      </c>
      <c r="H7">
        <v>18</v>
      </c>
      <c r="I7">
        <v>1</v>
      </c>
      <c r="J7">
        <v>1</v>
      </c>
      <c r="K7">
        <v>5</v>
      </c>
      <c r="L7">
        <v>41</v>
      </c>
      <c r="M7">
        <v>134</v>
      </c>
    </row>
    <row r="8" spans="1:13" x14ac:dyDescent="0.25">
      <c r="A8" t="s">
        <v>16</v>
      </c>
      <c r="B8" t="s">
        <v>19</v>
      </c>
      <c r="C8">
        <v>934</v>
      </c>
      <c r="D8">
        <v>156</v>
      </c>
      <c r="E8">
        <v>0</v>
      </c>
      <c r="F8" s="13">
        <v>712</v>
      </c>
      <c r="G8">
        <v>0</v>
      </c>
      <c r="H8">
        <v>9</v>
      </c>
      <c r="I8">
        <v>0</v>
      </c>
      <c r="J8">
        <v>1</v>
      </c>
      <c r="K8">
        <v>2</v>
      </c>
      <c r="L8">
        <v>21</v>
      </c>
      <c r="M8">
        <v>33</v>
      </c>
    </row>
    <row r="9" spans="1:13" x14ac:dyDescent="0.25">
      <c r="A9" t="s">
        <v>16</v>
      </c>
      <c r="B9" t="s">
        <v>20</v>
      </c>
      <c r="C9">
        <v>4</v>
      </c>
      <c r="D9">
        <v>0</v>
      </c>
      <c r="E9">
        <v>0</v>
      </c>
      <c r="F9" s="13">
        <v>0</v>
      </c>
      <c r="G9">
        <v>0</v>
      </c>
      <c r="H9">
        <v>0</v>
      </c>
      <c r="I9">
        <v>0</v>
      </c>
      <c r="J9">
        <v>0</v>
      </c>
      <c r="K9">
        <v>2</v>
      </c>
      <c r="L9">
        <v>0</v>
      </c>
      <c r="M9">
        <v>2</v>
      </c>
    </row>
    <row r="10" spans="1:13" x14ac:dyDescent="0.25">
      <c r="A10" t="s">
        <v>16</v>
      </c>
      <c r="B10" t="s">
        <v>21</v>
      </c>
      <c r="C10">
        <v>145</v>
      </c>
      <c r="D10">
        <v>10</v>
      </c>
      <c r="E10">
        <v>0</v>
      </c>
      <c r="F10" s="13">
        <v>123</v>
      </c>
      <c r="G10">
        <v>1</v>
      </c>
      <c r="H10">
        <v>1</v>
      </c>
      <c r="I10">
        <v>0</v>
      </c>
      <c r="J10">
        <v>0</v>
      </c>
      <c r="K10">
        <v>1</v>
      </c>
      <c r="L10">
        <v>0</v>
      </c>
      <c r="M10">
        <v>9</v>
      </c>
    </row>
    <row r="11" spans="1:13" x14ac:dyDescent="0.25">
      <c r="A11" t="s">
        <v>16</v>
      </c>
      <c r="B11" t="s">
        <v>22</v>
      </c>
      <c r="C11">
        <v>1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</v>
      </c>
      <c r="M11">
        <v>0</v>
      </c>
    </row>
    <row r="12" spans="1:13" x14ac:dyDescent="0.25">
      <c r="A12" s="1" t="s">
        <v>18</v>
      </c>
      <c r="B12" s="1" t="s">
        <v>17</v>
      </c>
      <c r="C12" s="1">
        <v>1992</v>
      </c>
      <c r="D12" s="1">
        <v>163</v>
      </c>
      <c r="E12" s="1">
        <v>131</v>
      </c>
      <c r="F12" s="1">
        <v>1206</v>
      </c>
      <c r="G12" s="1">
        <v>0</v>
      </c>
      <c r="H12" s="1">
        <v>1</v>
      </c>
      <c r="I12" s="1">
        <v>0</v>
      </c>
      <c r="J12" s="1">
        <v>0</v>
      </c>
      <c r="K12" s="1">
        <v>182</v>
      </c>
      <c r="L12" s="1">
        <v>11</v>
      </c>
      <c r="M12" s="1">
        <v>298</v>
      </c>
    </row>
    <row r="13" spans="1:13" x14ac:dyDescent="0.25">
      <c r="A13" t="s">
        <v>18</v>
      </c>
      <c r="B13" t="s">
        <v>16</v>
      </c>
      <c r="C13">
        <v>1812</v>
      </c>
      <c r="D13" s="15">
        <v>132</v>
      </c>
      <c r="E13">
        <v>6</v>
      </c>
      <c r="F13">
        <v>1204</v>
      </c>
      <c r="G13">
        <v>0</v>
      </c>
      <c r="H13">
        <v>1</v>
      </c>
      <c r="I13">
        <v>0</v>
      </c>
      <c r="J13">
        <v>0</v>
      </c>
      <c r="K13">
        <v>162</v>
      </c>
      <c r="L13">
        <v>9</v>
      </c>
      <c r="M13">
        <v>298</v>
      </c>
    </row>
    <row r="14" spans="1:13" x14ac:dyDescent="0.25">
      <c r="A14" t="s">
        <v>18</v>
      </c>
      <c r="B14" t="s">
        <v>18</v>
      </c>
      <c r="C14">
        <v>1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1</v>
      </c>
      <c r="L14">
        <v>0</v>
      </c>
      <c r="M14">
        <v>0</v>
      </c>
    </row>
    <row r="15" spans="1:13" x14ac:dyDescent="0.25">
      <c r="A15" t="s">
        <v>18</v>
      </c>
      <c r="B15" t="s">
        <v>21</v>
      </c>
      <c r="C15">
        <v>179</v>
      </c>
      <c r="D15">
        <v>31</v>
      </c>
      <c r="E15">
        <v>125</v>
      </c>
      <c r="F15">
        <v>2</v>
      </c>
      <c r="G15">
        <v>0</v>
      </c>
      <c r="H15">
        <v>0</v>
      </c>
      <c r="I15">
        <v>0</v>
      </c>
      <c r="J15">
        <v>0</v>
      </c>
      <c r="K15">
        <v>19</v>
      </c>
      <c r="L15">
        <v>2</v>
      </c>
      <c r="M15">
        <v>0</v>
      </c>
    </row>
    <row r="16" spans="1:13" x14ac:dyDescent="0.25">
      <c r="A16" s="1" t="s">
        <v>19</v>
      </c>
      <c r="B16" s="1" t="s">
        <v>17</v>
      </c>
      <c r="C16" s="1">
        <v>3507</v>
      </c>
      <c r="D16" s="1">
        <v>611</v>
      </c>
      <c r="E16" s="1">
        <v>206</v>
      </c>
      <c r="F16" s="1">
        <v>2649</v>
      </c>
      <c r="G16" s="1">
        <v>0</v>
      </c>
      <c r="H16" s="1">
        <v>0</v>
      </c>
      <c r="I16" s="1">
        <v>0</v>
      </c>
      <c r="J16" s="1">
        <v>0</v>
      </c>
      <c r="K16" s="1">
        <v>17</v>
      </c>
      <c r="L16" s="1">
        <v>24</v>
      </c>
      <c r="M16" s="1">
        <v>0</v>
      </c>
    </row>
    <row r="17" spans="1:13" x14ac:dyDescent="0.25">
      <c r="A17" t="s">
        <v>19</v>
      </c>
      <c r="B17" t="s">
        <v>16</v>
      </c>
      <c r="C17">
        <v>3256</v>
      </c>
      <c r="D17" s="15">
        <v>539</v>
      </c>
      <c r="E17">
        <v>35</v>
      </c>
      <c r="F17">
        <v>2644</v>
      </c>
      <c r="G17">
        <v>0</v>
      </c>
      <c r="H17">
        <v>0</v>
      </c>
      <c r="I17">
        <v>0</v>
      </c>
      <c r="J17">
        <v>0</v>
      </c>
      <c r="K17">
        <v>16</v>
      </c>
      <c r="L17">
        <v>22</v>
      </c>
      <c r="M17">
        <v>0</v>
      </c>
    </row>
    <row r="18" spans="1:13" x14ac:dyDescent="0.25">
      <c r="A18" t="s">
        <v>19</v>
      </c>
      <c r="B18" t="s">
        <v>21</v>
      </c>
      <c r="C18">
        <v>251</v>
      </c>
      <c r="D18">
        <v>72</v>
      </c>
      <c r="E18">
        <v>171</v>
      </c>
      <c r="F18">
        <v>5</v>
      </c>
      <c r="G18">
        <v>0</v>
      </c>
      <c r="H18">
        <v>0</v>
      </c>
      <c r="I18">
        <v>0</v>
      </c>
      <c r="J18">
        <v>0</v>
      </c>
      <c r="K18">
        <v>1</v>
      </c>
      <c r="L18">
        <v>2</v>
      </c>
      <c r="M18">
        <v>0</v>
      </c>
    </row>
    <row r="19" spans="1:13" x14ac:dyDescent="0.25">
      <c r="A19" s="1" t="s">
        <v>20</v>
      </c>
      <c r="B19" s="1" t="s">
        <v>17</v>
      </c>
      <c r="C19" s="1">
        <v>10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10</v>
      </c>
    </row>
    <row r="20" spans="1:13" x14ac:dyDescent="0.25">
      <c r="A20" t="s">
        <v>20</v>
      </c>
      <c r="B20" t="s">
        <v>16</v>
      </c>
      <c r="C20">
        <v>10</v>
      </c>
      <c r="D20" s="15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10</v>
      </c>
    </row>
    <row r="21" spans="1:13" x14ac:dyDescent="0.25">
      <c r="A21" s="1" t="s">
        <v>21</v>
      </c>
      <c r="B21" s="1" t="s">
        <v>17</v>
      </c>
      <c r="C21" s="1">
        <v>54</v>
      </c>
      <c r="D21" s="1">
        <v>6</v>
      </c>
      <c r="E21" s="1">
        <v>5</v>
      </c>
      <c r="F21" s="1">
        <v>21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22</v>
      </c>
    </row>
    <row r="22" spans="1:13" x14ac:dyDescent="0.25">
      <c r="A22" t="s">
        <v>21</v>
      </c>
      <c r="B22" t="s">
        <v>16</v>
      </c>
      <c r="C22">
        <v>48</v>
      </c>
      <c r="D22" s="15">
        <v>4</v>
      </c>
      <c r="E22">
        <v>2</v>
      </c>
      <c r="F22">
        <v>20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22</v>
      </c>
    </row>
    <row r="23" spans="1:13" x14ac:dyDescent="0.25">
      <c r="A23" t="s">
        <v>21</v>
      </c>
      <c r="B23" t="s">
        <v>18</v>
      </c>
      <c r="C23">
        <v>6</v>
      </c>
      <c r="D23">
        <v>2</v>
      </c>
      <c r="E23">
        <v>3</v>
      </c>
      <c r="F23">
        <v>1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</row>
    <row r="24" spans="1:13" x14ac:dyDescent="0.25">
      <c r="A24" s="1" t="s">
        <v>22</v>
      </c>
      <c r="B24" s="1" t="s">
        <v>17</v>
      </c>
      <c r="C24" s="1">
        <v>2</v>
      </c>
      <c r="D24" s="1">
        <v>1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1</v>
      </c>
    </row>
    <row r="25" spans="1:13" x14ac:dyDescent="0.25">
      <c r="A25" t="s">
        <v>22</v>
      </c>
      <c r="B25" t="s">
        <v>18</v>
      </c>
      <c r="C25">
        <v>1</v>
      </c>
      <c r="D25">
        <v>1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</row>
    <row r="26" spans="1:13" x14ac:dyDescent="0.25">
      <c r="A26" t="s">
        <v>22</v>
      </c>
      <c r="B26" t="s">
        <v>20</v>
      </c>
      <c r="C26">
        <v>1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1</v>
      </c>
    </row>
    <row r="29" spans="1:13" x14ac:dyDescent="0.25">
      <c r="A29" s="1" t="s">
        <v>23</v>
      </c>
    </row>
    <row r="30" spans="1:13" x14ac:dyDescent="0.25">
      <c r="A30" s="1" t="s">
        <v>3</v>
      </c>
      <c r="B30" s="1" t="s">
        <v>4</v>
      </c>
      <c r="C30" s="1" t="s">
        <v>5</v>
      </c>
      <c r="D30" s="1" t="s">
        <v>24</v>
      </c>
      <c r="E30" s="1" t="s">
        <v>25</v>
      </c>
      <c r="F30" s="1" t="s">
        <v>26</v>
      </c>
    </row>
    <row r="31" spans="1:13" x14ac:dyDescent="0.25">
      <c r="A31" s="1" t="s">
        <v>16</v>
      </c>
      <c r="B31" s="1" t="s">
        <v>17</v>
      </c>
      <c r="C31" s="1">
        <v>4444</v>
      </c>
      <c r="D31" s="1">
        <v>642</v>
      </c>
      <c r="E31" s="1">
        <v>3709</v>
      </c>
      <c r="F31" s="1">
        <v>93</v>
      </c>
    </row>
    <row r="32" spans="1:13" x14ac:dyDescent="0.25">
      <c r="A32" t="s">
        <v>16</v>
      </c>
      <c r="B32" t="s">
        <v>16</v>
      </c>
      <c r="C32">
        <v>257</v>
      </c>
      <c r="D32">
        <v>243</v>
      </c>
      <c r="E32">
        <v>10</v>
      </c>
      <c r="F32">
        <v>4</v>
      </c>
    </row>
    <row r="33" spans="1:6" x14ac:dyDescent="0.25">
      <c r="A33" t="s">
        <v>16</v>
      </c>
      <c r="B33" t="s">
        <v>18</v>
      </c>
      <c r="C33">
        <v>3186</v>
      </c>
      <c r="D33" s="12">
        <v>293</v>
      </c>
      <c r="E33">
        <v>2809</v>
      </c>
      <c r="F33" s="10">
        <v>84</v>
      </c>
    </row>
    <row r="34" spans="1:6" x14ac:dyDescent="0.25">
      <c r="A34" t="s">
        <v>16</v>
      </c>
      <c r="B34" t="s">
        <v>19</v>
      </c>
      <c r="C34">
        <v>868</v>
      </c>
      <c r="D34" s="12">
        <v>14</v>
      </c>
      <c r="E34">
        <v>852</v>
      </c>
      <c r="F34" s="10">
        <v>2</v>
      </c>
    </row>
    <row r="35" spans="1:6" x14ac:dyDescent="0.25">
      <c r="A35" t="s">
        <v>16</v>
      </c>
      <c r="B35" t="s">
        <v>21</v>
      </c>
      <c r="C35">
        <v>133</v>
      </c>
      <c r="D35" s="12">
        <v>92</v>
      </c>
      <c r="E35">
        <v>38</v>
      </c>
      <c r="F35" s="10">
        <v>3</v>
      </c>
    </row>
    <row r="36" spans="1:6" x14ac:dyDescent="0.25">
      <c r="A36" s="1" t="s">
        <v>18</v>
      </c>
      <c r="B36" s="1" t="s">
        <v>17</v>
      </c>
      <c r="C36" s="1">
        <v>1500</v>
      </c>
      <c r="D36" s="1">
        <v>0</v>
      </c>
      <c r="E36" s="1">
        <v>1500</v>
      </c>
      <c r="F36" s="1">
        <v>0</v>
      </c>
    </row>
    <row r="37" spans="1:6" x14ac:dyDescent="0.25">
      <c r="A37" t="s">
        <v>18</v>
      </c>
      <c r="B37" t="s">
        <v>16</v>
      </c>
      <c r="C37">
        <v>1342</v>
      </c>
      <c r="D37">
        <v>0</v>
      </c>
      <c r="E37">
        <v>1342</v>
      </c>
      <c r="F37">
        <v>0</v>
      </c>
    </row>
    <row r="38" spans="1:6" x14ac:dyDescent="0.25">
      <c r="A38" t="s">
        <v>18</v>
      </c>
      <c r="B38" t="s">
        <v>21</v>
      </c>
      <c r="C38">
        <v>158</v>
      </c>
      <c r="D38">
        <v>0</v>
      </c>
      <c r="E38">
        <v>158</v>
      </c>
      <c r="F38">
        <v>0</v>
      </c>
    </row>
    <row r="39" spans="1:6" x14ac:dyDescent="0.25">
      <c r="A39" s="1" t="s">
        <v>19</v>
      </c>
      <c r="B39" s="1" t="s">
        <v>17</v>
      </c>
      <c r="C39" s="1">
        <v>3466</v>
      </c>
      <c r="D39" s="1">
        <v>0</v>
      </c>
      <c r="E39" s="1">
        <v>3466</v>
      </c>
      <c r="F39" s="1">
        <v>0</v>
      </c>
    </row>
    <row r="40" spans="1:6" x14ac:dyDescent="0.25">
      <c r="A40" t="s">
        <v>19</v>
      </c>
      <c r="B40" t="s">
        <v>16</v>
      </c>
      <c r="C40">
        <v>3218</v>
      </c>
      <c r="D40">
        <v>0</v>
      </c>
      <c r="E40">
        <v>3218</v>
      </c>
      <c r="F40">
        <v>0</v>
      </c>
    </row>
    <row r="41" spans="1:6" x14ac:dyDescent="0.25">
      <c r="A41" t="s">
        <v>19</v>
      </c>
      <c r="B41" t="s">
        <v>21</v>
      </c>
      <c r="C41">
        <v>248</v>
      </c>
      <c r="D41">
        <v>0</v>
      </c>
      <c r="E41">
        <v>248</v>
      </c>
      <c r="F41">
        <v>0</v>
      </c>
    </row>
    <row r="42" spans="1:6" x14ac:dyDescent="0.25">
      <c r="A42" s="1" t="s">
        <v>21</v>
      </c>
      <c r="B42" s="1" t="s">
        <v>17</v>
      </c>
      <c r="C42" s="1">
        <v>32</v>
      </c>
      <c r="D42" s="1">
        <v>0</v>
      </c>
      <c r="E42" s="1">
        <v>32</v>
      </c>
      <c r="F42" s="1">
        <v>0</v>
      </c>
    </row>
    <row r="43" spans="1:6" x14ac:dyDescent="0.25">
      <c r="A43" t="s">
        <v>21</v>
      </c>
      <c r="B43" t="s">
        <v>16</v>
      </c>
      <c r="C43">
        <v>26</v>
      </c>
      <c r="D43">
        <v>0</v>
      </c>
      <c r="E43">
        <v>26</v>
      </c>
      <c r="F43">
        <v>0</v>
      </c>
    </row>
    <row r="44" spans="1:6" x14ac:dyDescent="0.25">
      <c r="A44" t="s">
        <v>21</v>
      </c>
      <c r="B44" t="s">
        <v>18</v>
      </c>
      <c r="C44">
        <v>6</v>
      </c>
      <c r="D44">
        <v>0</v>
      </c>
      <c r="E44">
        <v>6</v>
      </c>
      <c r="F44">
        <v>0</v>
      </c>
    </row>
    <row r="45" spans="1:6" x14ac:dyDescent="0.25">
      <c r="A45" s="1" t="s">
        <v>22</v>
      </c>
      <c r="B45" s="1" t="s">
        <v>17</v>
      </c>
      <c r="C45" s="1">
        <v>1</v>
      </c>
      <c r="D45" s="1">
        <v>0</v>
      </c>
      <c r="E45" s="1">
        <v>1</v>
      </c>
      <c r="F45" s="1">
        <v>0</v>
      </c>
    </row>
    <row r="46" spans="1:6" x14ac:dyDescent="0.25">
      <c r="A46" t="s">
        <v>22</v>
      </c>
      <c r="B46" t="s">
        <v>18</v>
      </c>
      <c r="C46">
        <v>1</v>
      </c>
      <c r="D46">
        <v>0</v>
      </c>
      <c r="E46">
        <v>1</v>
      </c>
      <c r="F46">
        <v>0</v>
      </c>
    </row>
    <row r="49" spans="1:2" x14ac:dyDescent="0.25">
      <c r="A49" s="1" t="s">
        <v>27</v>
      </c>
    </row>
    <row r="50" spans="1:2" x14ac:dyDescent="0.25">
      <c r="A50" s="1" t="s">
        <v>0</v>
      </c>
      <c r="B50" s="1" t="s">
        <v>28</v>
      </c>
    </row>
    <row r="51" spans="1:2" x14ac:dyDescent="0.25">
      <c r="A51" t="s">
        <v>29</v>
      </c>
      <c r="B51">
        <v>4445</v>
      </c>
    </row>
    <row r="52" spans="1:2" x14ac:dyDescent="0.25">
      <c r="A52" s="1" t="s">
        <v>30</v>
      </c>
      <c r="B52" s="1">
        <v>4445</v>
      </c>
    </row>
    <row r="54" spans="1:2" x14ac:dyDescent="0.25">
      <c r="A54" s="8" t="s">
        <v>31</v>
      </c>
      <c r="B54" s="1" t="s">
        <v>28</v>
      </c>
    </row>
    <row r="55" spans="1:2" x14ac:dyDescent="0.25">
      <c r="A55" s="8" t="s">
        <v>32</v>
      </c>
      <c r="B55" s="1">
        <v>929</v>
      </c>
    </row>
    <row r="56" spans="1:2" x14ac:dyDescent="0.25">
      <c r="A56" s="9" t="s">
        <v>33</v>
      </c>
      <c r="B56">
        <v>790</v>
      </c>
    </row>
    <row r="57" spans="1:2" x14ac:dyDescent="0.25">
      <c r="A57" s="9" t="s">
        <v>34</v>
      </c>
      <c r="B57">
        <v>137</v>
      </c>
    </row>
    <row r="58" spans="1:2" x14ac:dyDescent="0.25">
      <c r="A58" s="9" t="s">
        <v>35</v>
      </c>
      <c r="B58">
        <v>2</v>
      </c>
    </row>
    <row r="59" spans="1:2" x14ac:dyDescent="0.25">
      <c r="A59" s="8" t="s">
        <v>36</v>
      </c>
      <c r="B59" s="1">
        <v>850</v>
      </c>
    </row>
    <row r="60" spans="1:2" x14ac:dyDescent="0.25">
      <c r="A60" s="9" t="s">
        <v>33</v>
      </c>
      <c r="B60">
        <v>635</v>
      </c>
    </row>
    <row r="61" spans="1:2" x14ac:dyDescent="0.25">
      <c r="A61" s="9" t="s">
        <v>34</v>
      </c>
      <c r="B61">
        <v>213</v>
      </c>
    </row>
    <row r="62" spans="1:2" x14ac:dyDescent="0.25">
      <c r="A62" s="9" t="s">
        <v>35</v>
      </c>
      <c r="B62">
        <v>2</v>
      </c>
    </row>
    <row r="63" spans="1:2" x14ac:dyDescent="0.25">
      <c r="A63" s="8" t="s">
        <v>37</v>
      </c>
      <c r="B63" s="1">
        <v>623</v>
      </c>
    </row>
    <row r="64" spans="1:2" x14ac:dyDescent="0.25">
      <c r="A64" s="9" t="s">
        <v>33</v>
      </c>
      <c r="B64">
        <v>587</v>
      </c>
    </row>
    <row r="65" spans="1:2" x14ac:dyDescent="0.25">
      <c r="A65" s="9" t="s">
        <v>34</v>
      </c>
      <c r="B65">
        <v>24</v>
      </c>
    </row>
    <row r="66" spans="1:2" x14ac:dyDescent="0.25">
      <c r="A66" s="9" t="s">
        <v>38</v>
      </c>
      <c r="B66">
        <v>12</v>
      </c>
    </row>
    <row r="67" spans="1:2" x14ac:dyDescent="0.25">
      <c r="A67" s="8" t="s">
        <v>39</v>
      </c>
      <c r="B67" s="1">
        <v>477</v>
      </c>
    </row>
    <row r="68" spans="1:2" x14ac:dyDescent="0.25">
      <c r="A68" s="9" t="s">
        <v>33</v>
      </c>
      <c r="B68">
        <v>267</v>
      </c>
    </row>
    <row r="69" spans="1:2" x14ac:dyDescent="0.25">
      <c r="A69" s="9" t="s">
        <v>34</v>
      </c>
      <c r="B69">
        <v>210</v>
      </c>
    </row>
    <row r="70" spans="1:2" x14ac:dyDescent="0.25">
      <c r="A70" s="8" t="s">
        <v>40</v>
      </c>
      <c r="B70" s="1">
        <v>309</v>
      </c>
    </row>
    <row r="71" spans="1:2" x14ac:dyDescent="0.25">
      <c r="A71" t="s">
        <v>33</v>
      </c>
      <c r="B71">
        <v>294</v>
      </c>
    </row>
    <row r="72" spans="1:2" x14ac:dyDescent="0.25">
      <c r="A72" t="s">
        <v>34</v>
      </c>
      <c r="B72">
        <v>15</v>
      </c>
    </row>
    <row r="73" spans="1:2" x14ac:dyDescent="0.25">
      <c r="A73" s="1" t="s">
        <v>41</v>
      </c>
      <c r="B73" s="1">
        <v>240</v>
      </c>
    </row>
    <row r="74" spans="1:2" x14ac:dyDescent="0.25">
      <c r="A74" t="s">
        <v>34</v>
      </c>
      <c r="B74">
        <v>218</v>
      </c>
    </row>
    <row r="75" spans="1:2" x14ac:dyDescent="0.25">
      <c r="A75" t="s">
        <v>33</v>
      </c>
      <c r="B75">
        <v>22</v>
      </c>
    </row>
    <row r="76" spans="1:2" x14ac:dyDescent="0.25">
      <c r="A76" s="1" t="s">
        <v>42</v>
      </c>
      <c r="B76" s="1">
        <v>239</v>
      </c>
    </row>
    <row r="77" spans="1:2" x14ac:dyDescent="0.25">
      <c r="A77" t="s">
        <v>35</v>
      </c>
      <c r="B77">
        <v>239</v>
      </c>
    </row>
    <row r="78" spans="1:2" x14ac:dyDescent="0.25">
      <c r="A78" s="1" t="s">
        <v>43</v>
      </c>
      <c r="B78" s="1">
        <v>226</v>
      </c>
    </row>
    <row r="79" spans="1:2" x14ac:dyDescent="0.25">
      <c r="A79" t="s">
        <v>33</v>
      </c>
      <c r="B79">
        <v>224</v>
      </c>
    </row>
    <row r="80" spans="1:2" x14ac:dyDescent="0.25">
      <c r="A80" t="s">
        <v>38</v>
      </c>
      <c r="B80">
        <v>1</v>
      </c>
    </row>
    <row r="81" spans="1:2" x14ac:dyDescent="0.25">
      <c r="A81" t="s">
        <v>34</v>
      </c>
      <c r="B81">
        <v>1</v>
      </c>
    </row>
    <row r="82" spans="1:2" x14ac:dyDescent="0.25">
      <c r="A82" s="1" t="s">
        <v>44</v>
      </c>
      <c r="B82" s="1">
        <v>156</v>
      </c>
    </row>
    <row r="83" spans="1:2" x14ac:dyDescent="0.25">
      <c r="A83" t="s">
        <v>33</v>
      </c>
      <c r="B83">
        <v>133</v>
      </c>
    </row>
    <row r="84" spans="1:2" x14ac:dyDescent="0.25">
      <c r="A84" t="s">
        <v>34</v>
      </c>
      <c r="B84">
        <v>23</v>
      </c>
    </row>
    <row r="85" spans="1:2" x14ac:dyDescent="0.25">
      <c r="A85" s="1" t="s">
        <v>45</v>
      </c>
      <c r="B85" s="1">
        <v>58</v>
      </c>
    </row>
    <row r="86" spans="1:2" x14ac:dyDescent="0.25">
      <c r="A86" t="s">
        <v>33</v>
      </c>
      <c r="B86">
        <v>54</v>
      </c>
    </row>
    <row r="87" spans="1:2" x14ac:dyDescent="0.25">
      <c r="A87" t="s">
        <v>38</v>
      </c>
      <c r="B87">
        <v>2</v>
      </c>
    </row>
    <row r="88" spans="1:2" x14ac:dyDescent="0.25">
      <c r="A88" t="s">
        <v>34</v>
      </c>
      <c r="B88">
        <v>2</v>
      </c>
    </row>
    <row r="89" spans="1:2" x14ac:dyDescent="0.25">
      <c r="A89" s="1" t="s">
        <v>46</v>
      </c>
      <c r="B89" s="1">
        <v>54</v>
      </c>
    </row>
    <row r="90" spans="1:2" x14ac:dyDescent="0.25">
      <c r="A90" t="s">
        <v>38</v>
      </c>
      <c r="B90">
        <v>53</v>
      </c>
    </row>
    <row r="91" spans="1:2" x14ac:dyDescent="0.25">
      <c r="A91" t="s">
        <v>34</v>
      </c>
      <c r="B91">
        <v>1</v>
      </c>
    </row>
    <row r="92" spans="1:2" x14ac:dyDescent="0.25">
      <c r="A92" s="1" t="s">
        <v>47</v>
      </c>
      <c r="B92" s="1">
        <v>46</v>
      </c>
    </row>
    <row r="93" spans="1:2" x14ac:dyDescent="0.25">
      <c r="A93" t="s">
        <v>33</v>
      </c>
      <c r="B93">
        <v>34</v>
      </c>
    </row>
    <row r="94" spans="1:2" x14ac:dyDescent="0.25">
      <c r="A94" t="s">
        <v>38</v>
      </c>
      <c r="B94">
        <v>12</v>
      </c>
    </row>
    <row r="95" spans="1:2" x14ac:dyDescent="0.25">
      <c r="A95" s="1" t="s">
        <v>48</v>
      </c>
      <c r="B95" s="1">
        <v>42</v>
      </c>
    </row>
    <row r="96" spans="1:2" x14ac:dyDescent="0.25">
      <c r="A96" t="s">
        <v>33</v>
      </c>
      <c r="B96">
        <v>42</v>
      </c>
    </row>
    <row r="97" spans="1:2" x14ac:dyDescent="0.25">
      <c r="A97" s="1" t="s">
        <v>49</v>
      </c>
      <c r="B97" s="1">
        <v>30</v>
      </c>
    </row>
    <row r="98" spans="1:2" x14ac:dyDescent="0.25">
      <c r="A98" t="s">
        <v>33</v>
      </c>
      <c r="B98">
        <v>15</v>
      </c>
    </row>
    <row r="99" spans="1:2" x14ac:dyDescent="0.25">
      <c r="A99" t="s">
        <v>38</v>
      </c>
      <c r="B99">
        <v>15</v>
      </c>
    </row>
    <row r="100" spans="1:2" x14ac:dyDescent="0.25">
      <c r="A100" s="1" t="s">
        <v>50</v>
      </c>
      <c r="B100" s="1">
        <v>27</v>
      </c>
    </row>
    <row r="101" spans="1:2" x14ac:dyDescent="0.25">
      <c r="A101" t="s">
        <v>33</v>
      </c>
      <c r="B101">
        <v>15</v>
      </c>
    </row>
    <row r="102" spans="1:2" x14ac:dyDescent="0.25">
      <c r="A102" t="s">
        <v>34</v>
      </c>
      <c r="B102">
        <v>11</v>
      </c>
    </row>
    <row r="103" spans="1:2" x14ac:dyDescent="0.25">
      <c r="A103" t="s">
        <v>38</v>
      </c>
      <c r="B103">
        <v>1</v>
      </c>
    </row>
    <row r="104" spans="1:2" x14ac:dyDescent="0.25">
      <c r="A104" s="1" t="s">
        <v>51</v>
      </c>
      <c r="B104" s="1">
        <v>23</v>
      </c>
    </row>
    <row r="105" spans="1:2" x14ac:dyDescent="0.25">
      <c r="A105" t="s">
        <v>33</v>
      </c>
      <c r="B105">
        <v>23</v>
      </c>
    </row>
    <row r="106" spans="1:2" x14ac:dyDescent="0.25">
      <c r="A106" s="1" t="s">
        <v>52</v>
      </c>
      <c r="B106" s="1">
        <v>14</v>
      </c>
    </row>
    <row r="107" spans="1:2" x14ac:dyDescent="0.25">
      <c r="A107" t="s">
        <v>38</v>
      </c>
      <c r="B107">
        <v>14</v>
      </c>
    </row>
    <row r="108" spans="1:2" x14ac:dyDescent="0.25">
      <c r="A108" s="1" t="s">
        <v>53</v>
      </c>
      <c r="B108" s="1">
        <v>12</v>
      </c>
    </row>
    <row r="109" spans="1:2" x14ac:dyDescent="0.25">
      <c r="A109" t="s">
        <v>35</v>
      </c>
      <c r="B109">
        <v>12</v>
      </c>
    </row>
    <row r="110" spans="1:2" x14ac:dyDescent="0.25">
      <c r="A110" s="1" t="s">
        <v>54</v>
      </c>
      <c r="B110" s="1">
        <v>10</v>
      </c>
    </row>
    <row r="111" spans="1:2" x14ac:dyDescent="0.25">
      <c r="A111" t="s">
        <v>34</v>
      </c>
      <c r="B111">
        <v>10</v>
      </c>
    </row>
    <row r="112" spans="1:2" x14ac:dyDescent="0.25">
      <c r="A112" s="1" t="s">
        <v>55</v>
      </c>
      <c r="B112" s="1">
        <v>10</v>
      </c>
    </row>
    <row r="113" spans="1:2" x14ac:dyDescent="0.25">
      <c r="A113" t="s">
        <v>38</v>
      </c>
      <c r="B113">
        <v>7</v>
      </c>
    </row>
    <row r="114" spans="1:2" x14ac:dyDescent="0.25">
      <c r="A114" t="s">
        <v>33</v>
      </c>
      <c r="B114">
        <v>3</v>
      </c>
    </row>
    <row r="115" spans="1:2" x14ac:dyDescent="0.25">
      <c r="A115" s="1" t="s">
        <v>56</v>
      </c>
      <c r="B115" s="1">
        <v>9</v>
      </c>
    </row>
    <row r="116" spans="1:2" x14ac:dyDescent="0.25">
      <c r="A116" t="s">
        <v>33</v>
      </c>
      <c r="B116">
        <v>8</v>
      </c>
    </row>
    <row r="117" spans="1:2" x14ac:dyDescent="0.25">
      <c r="A117" t="s">
        <v>34</v>
      </c>
      <c r="B117">
        <v>1</v>
      </c>
    </row>
    <row r="118" spans="1:2" x14ac:dyDescent="0.25">
      <c r="A118" s="1" t="s">
        <v>57</v>
      </c>
      <c r="B118" s="1">
        <v>8</v>
      </c>
    </row>
    <row r="119" spans="1:2" x14ac:dyDescent="0.25">
      <c r="A119" t="s">
        <v>33</v>
      </c>
      <c r="B119">
        <v>7</v>
      </c>
    </row>
    <row r="120" spans="1:2" x14ac:dyDescent="0.25">
      <c r="A120" t="s">
        <v>34</v>
      </c>
      <c r="B120">
        <v>1</v>
      </c>
    </row>
    <row r="121" spans="1:2" x14ac:dyDescent="0.25">
      <c r="A121" s="1" t="s">
        <v>58</v>
      </c>
      <c r="B121" s="1">
        <v>6</v>
      </c>
    </row>
    <row r="122" spans="1:2" x14ac:dyDescent="0.25">
      <c r="A122" t="s">
        <v>38</v>
      </c>
      <c r="B122">
        <v>6</v>
      </c>
    </row>
    <row r="123" spans="1:2" x14ac:dyDescent="0.25">
      <c r="A123" s="1" t="s">
        <v>59</v>
      </c>
      <c r="B123" s="1">
        <v>6</v>
      </c>
    </row>
    <row r="124" spans="1:2" x14ac:dyDescent="0.25">
      <c r="A124" t="s">
        <v>33</v>
      </c>
      <c r="B124">
        <v>6</v>
      </c>
    </row>
    <row r="125" spans="1:2" x14ac:dyDescent="0.25">
      <c r="A125" s="1" t="s">
        <v>60</v>
      </c>
      <c r="B125" s="1">
        <v>5</v>
      </c>
    </row>
    <row r="126" spans="1:2" x14ac:dyDescent="0.25">
      <c r="A126" t="s">
        <v>33</v>
      </c>
      <c r="B126">
        <v>5</v>
      </c>
    </row>
    <row r="127" spans="1:2" x14ac:dyDescent="0.25">
      <c r="A127" s="1" t="s">
        <v>61</v>
      </c>
      <c r="B127" s="1">
        <v>5</v>
      </c>
    </row>
    <row r="128" spans="1:2" x14ac:dyDescent="0.25">
      <c r="A128" t="s">
        <v>33</v>
      </c>
      <c r="B128">
        <v>5</v>
      </c>
    </row>
    <row r="129" spans="1:2" x14ac:dyDescent="0.25">
      <c r="A129" s="1" t="s">
        <v>62</v>
      </c>
      <c r="B129" s="1">
        <v>4</v>
      </c>
    </row>
    <row r="130" spans="1:2" x14ac:dyDescent="0.25">
      <c r="A130" t="s">
        <v>38</v>
      </c>
      <c r="B130">
        <v>4</v>
      </c>
    </row>
    <row r="131" spans="1:2" x14ac:dyDescent="0.25">
      <c r="A131" s="1" t="s">
        <v>63</v>
      </c>
      <c r="B131" s="1">
        <v>3</v>
      </c>
    </row>
    <row r="132" spans="1:2" x14ac:dyDescent="0.25">
      <c r="A132" t="s">
        <v>33</v>
      </c>
      <c r="B132">
        <v>3</v>
      </c>
    </row>
    <row r="133" spans="1:2" x14ac:dyDescent="0.25">
      <c r="A133" s="1" t="s">
        <v>64</v>
      </c>
      <c r="B133" s="1">
        <v>2</v>
      </c>
    </row>
    <row r="134" spans="1:2" x14ac:dyDescent="0.25">
      <c r="A134" t="s">
        <v>38</v>
      </c>
      <c r="B134">
        <v>2</v>
      </c>
    </row>
    <row r="135" spans="1:2" x14ac:dyDescent="0.25">
      <c r="A135" s="1" t="s">
        <v>65</v>
      </c>
      <c r="B135" s="1">
        <v>2</v>
      </c>
    </row>
    <row r="136" spans="1:2" x14ac:dyDescent="0.25">
      <c r="A136" t="s">
        <v>33</v>
      </c>
      <c r="B136">
        <v>2</v>
      </c>
    </row>
    <row r="137" spans="1:2" x14ac:dyDescent="0.25">
      <c r="A137" s="1" t="s">
        <v>66</v>
      </c>
      <c r="B137" s="1">
        <v>2</v>
      </c>
    </row>
    <row r="138" spans="1:2" x14ac:dyDescent="0.25">
      <c r="A138" t="s">
        <v>35</v>
      </c>
      <c r="B138">
        <v>2</v>
      </c>
    </row>
    <row r="139" spans="1:2" x14ac:dyDescent="0.25">
      <c r="A139" s="1" t="s">
        <v>67</v>
      </c>
      <c r="B139" s="1">
        <v>1</v>
      </c>
    </row>
    <row r="140" spans="1:2" x14ac:dyDescent="0.25">
      <c r="A140" t="s">
        <v>33</v>
      </c>
      <c r="B140">
        <v>1</v>
      </c>
    </row>
    <row r="141" spans="1:2" x14ac:dyDescent="0.25">
      <c r="A141" s="1" t="s">
        <v>68</v>
      </c>
      <c r="B141" s="1">
        <v>1</v>
      </c>
    </row>
    <row r="142" spans="1:2" x14ac:dyDescent="0.25">
      <c r="A142" t="s">
        <v>33</v>
      </c>
      <c r="B142">
        <v>1</v>
      </c>
    </row>
    <row r="143" spans="1:2" x14ac:dyDescent="0.25">
      <c r="A143" s="1" t="s">
        <v>69</v>
      </c>
      <c r="B143" s="1">
        <v>1</v>
      </c>
    </row>
    <row r="144" spans="1:2" x14ac:dyDescent="0.25">
      <c r="A144" t="s">
        <v>34</v>
      </c>
      <c r="B144">
        <v>1</v>
      </c>
    </row>
    <row r="145" spans="1:2" x14ac:dyDescent="0.25">
      <c r="A145" s="1" t="s">
        <v>70</v>
      </c>
      <c r="B145" s="1">
        <v>1</v>
      </c>
    </row>
    <row r="146" spans="1:2" x14ac:dyDescent="0.25">
      <c r="A146" t="s">
        <v>33</v>
      </c>
      <c r="B146">
        <v>1</v>
      </c>
    </row>
    <row r="147" spans="1:2" x14ac:dyDescent="0.25">
      <c r="A147" s="1" t="s">
        <v>71</v>
      </c>
      <c r="B147" s="1">
        <v>1</v>
      </c>
    </row>
    <row r="148" spans="1:2" x14ac:dyDescent="0.25">
      <c r="A148" t="s">
        <v>38</v>
      </c>
      <c r="B148">
        <v>1</v>
      </c>
    </row>
    <row r="149" spans="1:2" x14ac:dyDescent="0.25">
      <c r="A149" s="1" t="s">
        <v>72</v>
      </c>
      <c r="B149" s="1">
        <v>1</v>
      </c>
    </row>
    <row r="150" spans="1:2" x14ac:dyDescent="0.25">
      <c r="A150" t="s">
        <v>33</v>
      </c>
      <c r="B150">
        <v>1</v>
      </c>
    </row>
    <row r="151" spans="1:2" x14ac:dyDescent="0.25">
      <c r="A151" s="1" t="s">
        <v>73</v>
      </c>
      <c r="B151" s="1">
        <v>1</v>
      </c>
    </row>
    <row r="152" spans="1:2" x14ac:dyDescent="0.25">
      <c r="A152" t="s">
        <v>33</v>
      </c>
      <c r="B152">
        <v>1</v>
      </c>
    </row>
    <row r="153" spans="1:2" x14ac:dyDescent="0.25">
      <c r="A153" s="1" t="s">
        <v>74</v>
      </c>
      <c r="B153" s="1">
        <v>1</v>
      </c>
    </row>
    <row r="154" spans="1:2" x14ac:dyDescent="0.25">
      <c r="A154" t="s">
        <v>33</v>
      </c>
      <c r="B154">
        <v>1</v>
      </c>
    </row>
    <row r="155" spans="1:2" x14ac:dyDescent="0.25">
      <c r="A155" s="1" t="s">
        <v>75</v>
      </c>
      <c r="B155" s="1">
        <v>1</v>
      </c>
    </row>
    <row r="156" spans="1:2" x14ac:dyDescent="0.25">
      <c r="A156" t="s">
        <v>33</v>
      </c>
      <c r="B156">
        <v>1</v>
      </c>
    </row>
    <row r="157" spans="1:2" x14ac:dyDescent="0.25">
      <c r="A157" s="1" t="s">
        <v>76</v>
      </c>
      <c r="B157" s="1">
        <v>1</v>
      </c>
    </row>
    <row r="158" spans="1:2" x14ac:dyDescent="0.25">
      <c r="A158" t="s">
        <v>38</v>
      </c>
      <c r="B158">
        <v>1</v>
      </c>
    </row>
    <row r="159" spans="1:2" x14ac:dyDescent="0.25">
      <c r="A159" s="1" t="s">
        <v>77</v>
      </c>
      <c r="B159" s="1">
        <v>1</v>
      </c>
    </row>
    <row r="160" spans="1:2" x14ac:dyDescent="0.25">
      <c r="A160" t="s">
        <v>33</v>
      </c>
      <c r="B160">
        <v>1</v>
      </c>
    </row>
    <row r="161" spans="1:2" x14ac:dyDescent="0.25">
      <c r="A161" s="1" t="s">
        <v>78</v>
      </c>
      <c r="B161" s="1">
        <v>1</v>
      </c>
    </row>
    <row r="162" spans="1:2" x14ac:dyDescent="0.25">
      <c r="A162" t="s">
        <v>33</v>
      </c>
      <c r="B162">
        <v>1</v>
      </c>
    </row>
    <row r="163" spans="1:2" x14ac:dyDescent="0.25">
      <c r="A163" s="1" t="s">
        <v>79</v>
      </c>
      <c r="B163" s="1">
        <v>1</v>
      </c>
    </row>
    <row r="164" spans="1:2" x14ac:dyDescent="0.25">
      <c r="A164" t="s">
        <v>33</v>
      </c>
      <c r="B164">
        <v>1</v>
      </c>
    </row>
    <row r="165" spans="1:2" x14ac:dyDescent="0.25">
      <c r="A165" s="1" t="s">
        <v>80</v>
      </c>
      <c r="B165" s="1">
        <v>1</v>
      </c>
    </row>
    <row r="166" spans="1:2" x14ac:dyDescent="0.25">
      <c r="A166" t="s">
        <v>38</v>
      </c>
      <c r="B166">
        <v>1</v>
      </c>
    </row>
    <row r="167" spans="1:2" x14ac:dyDescent="0.25">
      <c r="A167" s="1" t="s">
        <v>81</v>
      </c>
      <c r="B167" s="1">
        <v>1</v>
      </c>
    </row>
    <row r="168" spans="1:2" x14ac:dyDescent="0.25">
      <c r="A168" t="s">
        <v>38</v>
      </c>
      <c r="B168">
        <v>1</v>
      </c>
    </row>
    <row r="169" spans="1:2" x14ac:dyDescent="0.25">
      <c r="A169" s="1" t="s">
        <v>82</v>
      </c>
      <c r="B169" s="1">
        <v>1</v>
      </c>
    </row>
    <row r="170" spans="1:2" x14ac:dyDescent="0.25">
      <c r="A170" t="s">
        <v>33</v>
      </c>
      <c r="B170">
        <v>1</v>
      </c>
    </row>
    <row r="171" spans="1:2" x14ac:dyDescent="0.25">
      <c r="A171" s="1" t="s">
        <v>83</v>
      </c>
      <c r="B171" s="1">
        <v>1</v>
      </c>
    </row>
    <row r="172" spans="1:2" x14ac:dyDescent="0.25">
      <c r="A172" t="s">
        <v>33</v>
      </c>
      <c r="B172">
        <v>1</v>
      </c>
    </row>
    <row r="173" spans="1:2" x14ac:dyDescent="0.25">
      <c r="A173" s="1" t="s">
        <v>84</v>
      </c>
      <c r="B173" s="1">
        <v>1</v>
      </c>
    </row>
    <row r="174" spans="1:2" x14ac:dyDescent="0.25">
      <c r="A174" t="s">
        <v>33</v>
      </c>
      <c r="B174">
        <v>1</v>
      </c>
    </row>
    <row r="177" spans="1:5" x14ac:dyDescent="0.25">
      <c r="A177" s="1" t="s">
        <v>85</v>
      </c>
    </row>
    <row r="178" spans="1:5" x14ac:dyDescent="0.25">
      <c r="A178" s="1" t="s">
        <v>86</v>
      </c>
      <c r="B178" s="1" t="s">
        <v>5</v>
      </c>
      <c r="C178" s="1" t="s">
        <v>24</v>
      </c>
      <c r="D178" s="1" t="s">
        <v>25</v>
      </c>
      <c r="E178" s="1" t="s">
        <v>26</v>
      </c>
    </row>
    <row r="179" spans="1:5" x14ac:dyDescent="0.25">
      <c r="A179" t="s">
        <v>84</v>
      </c>
      <c r="B179">
        <v>2</v>
      </c>
      <c r="C179">
        <v>2</v>
      </c>
      <c r="D179">
        <v>0</v>
      </c>
      <c r="E179">
        <v>0</v>
      </c>
    </row>
    <row r="180" spans="1:5" x14ac:dyDescent="0.25">
      <c r="A180" t="s">
        <v>83</v>
      </c>
      <c r="B180">
        <v>1</v>
      </c>
      <c r="C180">
        <v>1</v>
      </c>
      <c r="D180">
        <v>0</v>
      </c>
      <c r="E180">
        <v>0</v>
      </c>
    </row>
    <row r="181" spans="1:5" x14ac:dyDescent="0.25">
      <c r="A181" t="s">
        <v>57</v>
      </c>
      <c r="B181">
        <v>8</v>
      </c>
      <c r="C181">
        <v>0</v>
      </c>
      <c r="D181">
        <v>0</v>
      </c>
      <c r="E181">
        <v>8</v>
      </c>
    </row>
    <row r="182" spans="1:5" x14ac:dyDescent="0.25">
      <c r="A182" t="s">
        <v>66</v>
      </c>
      <c r="B182">
        <v>4</v>
      </c>
      <c r="C182">
        <v>4</v>
      </c>
      <c r="D182">
        <v>0</v>
      </c>
      <c r="E182">
        <v>0</v>
      </c>
    </row>
    <row r="183" spans="1:5" x14ac:dyDescent="0.25">
      <c r="A183" t="s">
        <v>46</v>
      </c>
      <c r="B183">
        <v>54</v>
      </c>
      <c r="C183">
        <v>54</v>
      </c>
      <c r="D183">
        <v>0</v>
      </c>
      <c r="E183">
        <v>0</v>
      </c>
    </row>
    <row r="184" spans="1:5" x14ac:dyDescent="0.25">
      <c r="A184" t="s">
        <v>82</v>
      </c>
      <c r="B184">
        <v>1</v>
      </c>
      <c r="C184">
        <v>1</v>
      </c>
      <c r="D184">
        <v>0</v>
      </c>
      <c r="E184">
        <v>0</v>
      </c>
    </row>
    <row r="185" spans="1:5" x14ac:dyDescent="0.25">
      <c r="A185" t="s">
        <v>61</v>
      </c>
      <c r="B185">
        <v>5</v>
      </c>
      <c r="C185">
        <v>5</v>
      </c>
      <c r="D185">
        <v>0</v>
      </c>
      <c r="E185">
        <v>0</v>
      </c>
    </row>
    <row r="186" spans="1:5" x14ac:dyDescent="0.25">
      <c r="A186" t="s">
        <v>63</v>
      </c>
      <c r="B186">
        <v>3</v>
      </c>
      <c r="C186">
        <v>3</v>
      </c>
      <c r="D186">
        <v>0</v>
      </c>
      <c r="E186">
        <v>0</v>
      </c>
    </row>
    <row r="187" spans="1:5" x14ac:dyDescent="0.25">
      <c r="A187" t="s">
        <v>87</v>
      </c>
      <c r="B187">
        <v>1</v>
      </c>
      <c r="C187">
        <v>1</v>
      </c>
      <c r="D187">
        <v>0</v>
      </c>
      <c r="E187">
        <v>0</v>
      </c>
    </row>
    <row r="188" spans="1:5" x14ac:dyDescent="0.25">
      <c r="A188" t="s">
        <v>60</v>
      </c>
      <c r="B188">
        <v>5</v>
      </c>
      <c r="C188">
        <v>5</v>
      </c>
      <c r="D188">
        <v>0</v>
      </c>
      <c r="E188">
        <v>0</v>
      </c>
    </row>
    <row r="189" spans="1:5" x14ac:dyDescent="0.25">
      <c r="A189" t="s">
        <v>53</v>
      </c>
      <c r="B189">
        <v>18</v>
      </c>
      <c r="C189">
        <v>17</v>
      </c>
      <c r="D189">
        <v>1</v>
      </c>
      <c r="E189">
        <v>0</v>
      </c>
    </row>
    <row r="190" spans="1:5" x14ac:dyDescent="0.25">
      <c r="A190" t="s">
        <v>81</v>
      </c>
      <c r="B190">
        <v>2</v>
      </c>
      <c r="C190">
        <v>2</v>
      </c>
      <c r="D190">
        <v>0</v>
      </c>
      <c r="E190">
        <v>0</v>
      </c>
    </row>
    <row r="191" spans="1:5" x14ac:dyDescent="0.25">
      <c r="A191" t="s">
        <v>80</v>
      </c>
      <c r="B191">
        <v>1</v>
      </c>
      <c r="C191">
        <v>1</v>
      </c>
      <c r="D191">
        <v>0</v>
      </c>
      <c r="E191">
        <v>0</v>
      </c>
    </row>
    <row r="192" spans="1:5" x14ac:dyDescent="0.25">
      <c r="A192" t="s">
        <v>42</v>
      </c>
      <c r="B192">
        <v>358</v>
      </c>
      <c r="C192">
        <v>340</v>
      </c>
      <c r="D192">
        <v>6</v>
      </c>
      <c r="E192">
        <v>12</v>
      </c>
    </row>
    <row r="193" spans="1:5" x14ac:dyDescent="0.25">
      <c r="A193" t="s">
        <v>79</v>
      </c>
      <c r="B193">
        <v>1</v>
      </c>
      <c r="C193">
        <v>0</v>
      </c>
      <c r="D193">
        <v>1</v>
      </c>
      <c r="E193">
        <v>0</v>
      </c>
    </row>
    <row r="194" spans="1:5" x14ac:dyDescent="0.25">
      <c r="A194" t="s">
        <v>78</v>
      </c>
      <c r="B194">
        <v>1</v>
      </c>
      <c r="C194">
        <v>1</v>
      </c>
      <c r="D194">
        <v>0</v>
      </c>
      <c r="E194">
        <v>0</v>
      </c>
    </row>
    <row r="195" spans="1:5" x14ac:dyDescent="0.25">
      <c r="A195" t="s">
        <v>77</v>
      </c>
      <c r="B195">
        <v>2</v>
      </c>
      <c r="C195">
        <v>0</v>
      </c>
      <c r="D195">
        <v>2</v>
      </c>
      <c r="E195">
        <v>0</v>
      </c>
    </row>
    <row r="196" spans="1:5" x14ac:dyDescent="0.25">
      <c r="A196" t="s">
        <v>76</v>
      </c>
      <c r="B196">
        <v>1</v>
      </c>
      <c r="C196">
        <v>1</v>
      </c>
      <c r="D196">
        <v>0</v>
      </c>
      <c r="E196">
        <v>0</v>
      </c>
    </row>
    <row r="197" spans="1:5" x14ac:dyDescent="0.25">
      <c r="A197" t="s">
        <v>43</v>
      </c>
      <c r="B197">
        <v>226</v>
      </c>
      <c r="C197">
        <v>225</v>
      </c>
      <c r="D197">
        <v>1</v>
      </c>
      <c r="E197">
        <v>0</v>
      </c>
    </row>
    <row r="198" spans="1:5" x14ac:dyDescent="0.25">
      <c r="A198" t="s">
        <v>75</v>
      </c>
      <c r="B198">
        <v>1</v>
      </c>
      <c r="C198">
        <v>1</v>
      </c>
      <c r="D198">
        <v>0</v>
      </c>
      <c r="E198">
        <v>0</v>
      </c>
    </row>
    <row r="199" spans="1:5" x14ac:dyDescent="0.25">
      <c r="A199" t="s">
        <v>50</v>
      </c>
      <c r="B199">
        <v>27</v>
      </c>
      <c r="C199">
        <v>13</v>
      </c>
      <c r="D199">
        <v>1</v>
      </c>
      <c r="E199">
        <v>13</v>
      </c>
    </row>
    <row r="200" spans="1:5" x14ac:dyDescent="0.25">
      <c r="A200" t="s">
        <v>62</v>
      </c>
      <c r="B200">
        <v>8</v>
      </c>
      <c r="C200">
        <v>4</v>
      </c>
      <c r="D200">
        <v>0</v>
      </c>
      <c r="E200">
        <v>4</v>
      </c>
    </row>
    <row r="201" spans="1:5" x14ac:dyDescent="0.25">
      <c r="A201" t="s">
        <v>55</v>
      </c>
      <c r="B201">
        <v>10</v>
      </c>
      <c r="C201">
        <v>10</v>
      </c>
      <c r="D201">
        <v>0</v>
      </c>
      <c r="E201">
        <v>0</v>
      </c>
    </row>
    <row r="202" spans="1:5" x14ac:dyDescent="0.25">
      <c r="A202" t="s">
        <v>74</v>
      </c>
      <c r="B202">
        <v>1</v>
      </c>
      <c r="C202">
        <v>0</v>
      </c>
      <c r="D202">
        <v>1</v>
      </c>
      <c r="E202">
        <v>0</v>
      </c>
    </row>
    <row r="203" spans="1:5" x14ac:dyDescent="0.25">
      <c r="A203" t="s">
        <v>49</v>
      </c>
      <c r="B203">
        <v>45</v>
      </c>
      <c r="C203">
        <v>32</v>
      </c>
      <c r="D203">
        <v>4</v>
      </c>
      <c r="E203">
        <v>9</v>
      </c>
    </row>
    <row r="204" spans="1:5" x14ac:dyDescent="0.25">
      <c r="A204" t="s">
        <v>48</v>
      </c>
      <c r="B204">
        <v>42</v>
      </c>
      <c r="C204">
        <v>0</v>
      </c>
      <c r="D204">
        <v>0</v>
      </c>
      <c r="E204">
        <v>42</v>
      </c>
    </row>
    <row r="205" spans="1:5" x14ac:dyDescent="0.25">
      <c r="A205" t="s">
        <v>88</v>
      </c>
      <c r="B205">
        <v>0</v>
      </c>
      <c r="C205">
        <v>0</v>
      </c>
      <c r="D205">
        <v>0</v>
      </c>
      <c r="E205">
        <v>0</v>
      </c>
    </row>
    <row r="206" spans="1:5" x14ac:dyDescent="0.25">
      <c r="A206" t="s">
        <v>73</v>
      </c>
      <c r="B206">
        <v>1</v>
      </c>
      <c r="C206">
        <v>0</v>
      </c>
      <c r="D206">
        <v>0</v>
      </c>
      <c r="E206">
        <v>1</v>
      </c>
    </row>
    <row r="207" spans="1:5" x14ac:dyDescent="0.25">
      <c r="A207" s="2" t="s">
        <v>65</v>
      </c>
      <c r="B207">
        <v>2</v>
      </c>
      <c r="C207">
        <v>0</v>
      </c>
      <c r="D207">
        <v>2</v>
      </c>
      <c r="E207">
        <v>0</v>
      </c>
    </row>
    <row r="208" spans="1:5" x14ac:dyDescent="0.25">
      <c r="A208" s="2" t="s">
        <v>45</v>
      </c>
      <c r="B208">
        <v>66</v>
      </c>
      <c r="C208">
        <v>0</v>
      </c>
      <c r="D208">
        <v>66</v>
      </c>
      <c r="E208">
        <v>0</v>
      </c>
    </row>
    <row r="209" spans="1:5" x14ac:dyDescent="0.25">
      <c r="A209" t="s">
        <v>72</v>
      </c>
      <c r="B209">
        <v>1</v>
      </c>
      <c r="C209">
        <v>0</v>
      </c>
      <c r="D209">
        <v>1</v>
      </c>
      <c r="E209">
        <v>0</v>
      </c>
    </row>
    <row r="210" spans="1:5" x14ac:dyDescent="0.25">
      <c r="A210" s="2" t="s">
        <v>37</v>
      </c>
      <c r="B210">
        <v>843</v>
      </c>
      <c r="C210">
        <v>0</v>
      </c>
      <c r="D210">
        <v>843</v>
      </c>
      <c r="E210">
        <v>0</v>
      </c>
    </row>
    <row r="211" spans="1:5" x14ac:dyDescent="0.25">
      <c r="A211" s="2" t="s">
        <v>32</v>
      </c>
      <c r="B211">
        <v>1457</v>
      </c>
      <c r="C211">
        <v>2</v>
      </c>
      <c r="D211">
        <v>1455</v>
      </c>
      <c r="E211">
        <v>0</v>
      </c>
    </row>
    <row r="212" spans="1:5" x14ac:dyDescent="0.25">
      <c r="A212" s="2" t="s">
        <v>40</v>
      </c>
      <c r="B212">
        <v>378</v>
      </c>
      <c r="C212">
        <v>0</v>
      </c>
      <c r="D212">
        <v>378</v>
      </c>
      <c r="E212">
        <v>0</v>
      </c>
    </row>
    <row r="213" spans="1:5" x14ac:dyDescent="0.25">
      <c r="A213" s="2" t="s">
        <v>56</v>
      </c>
      <c r="B213">
        <v>9</v>
      </c>
      <c r="C213">
        <v>0</v>
      </c>
      <c r="D213">
        <v>9</v>
      </c>
      <c r="E213">
        <v>0</v>
      </c>
    </row>
    <row r="214" spans="1:5" x14ac:dyDescent="0.25">
      <c r="A214" t="s">
        <v>71</v>
      </c>
      <c r="B214">
        <v>1</v>
      </c>
      <c r="C214">
        <v>0</v>
      </c>
      <c r="D214">
        <v>1</v>
      </c>
      <c r="E214">
        <v>0</v>
      </c>
    </row>
    <row r="215" spans="1:5" x14ac:dyDescent="0.25">
      <c r="A215" s="2" t="s">
        <v>44</v>
      </c>
      <c r="B215">
        <v>166</v>
      </c>
      <c r="C215">
        <v>0</v>
      </c>
      <c r="D215">
        <v>166</v>
      </c>
      <c r="E215">
        <v>0</v>
      </c>
    </row>
    <row r="216" spans="1:5" x14ac:dyDescent="0.25">
      <c r="A216" t="s">
        <v>59</v>
      </c>
      <c r="B216">
        <v>6</v>
      </c>
      <c r="C216">
        <v>0</v>
      </c>
      <c r="D216">
        <v>6</v>
      </c>
      <c r="E216">
        <v>0</v>
      </c>
    </row>
    <row r="217" spans="1:5" x14ac:dyDescent="0.25">
      <c r="A217" t="s">
        <v>58</v>
      </c>
      <c r="B217">
        <v>6</v>
      </c>
      <c r="C217">
        <v>0</v>
      </c>
      <c r="D217">
        <v>6</v>
      </c>
      <c r="E217">
        <v>0</v>
      </c>
    </row>
    <row r="218" spans="1:5" x14ac:dyDescent="0.25">
      <c r="A218" t="s">
        <v>89</v>
      </c>
      <c r="B218">
        <v>0</v>
      </c>
      <c r="C218">
        <v>0</v>
      </c>
      <c r="D218">
        <v>0</v>
      </c>
      <c r="E218">
        <v>0</v>
      </c>
    </row>
    <row r="219" spans="1:5" x14ac:dyDescent="0.25">
      <c r="A219" t="s">
        <v>90</v>
      </c>
      <c r="B219">
        <v>0</v>
      </c>
      <c r="C219">
        <v>0</v>
      </c>
      <c r="D219">
        <v>0</v>
      </c>
      <c r="E219">
        <v>0</v>
      </c>
    </row>
    <row r="220" spans="1:5" x14ac:dyDescent="0.25">
      <c r="A220" t="s">
        <v>70</v>
      </c>
      <c r="B220">
        <v>1</v>
      </c>
      <c r="C220">
        <v>0</v>
      </c>
      <c r="D220">
        <v>0</v>
      </c>
      <c r="E220">
        <v>1</v>
      </c>
    </row>
    <row r="221" spans="1:5" x14ac:dyDescent="0.25">
      <c r="A221" t="s">
        <v>69</v>
      </c>
      <c r="B221">
        <v>1</v>
      </c>
      <c r="C221">
        <v>1</v>
      </c>
      <c r="D221">
        <v>0</v>
      </c>
      <c r="E221">
        <v>0</v>
      </c>
    </row>
    <row r="222" spans="1:5" x14ac:dyDescent="0.25">
      <c r="A222" t="s">
        <v>91</v>
      </c>
      <c r="B222">
        <v>0</v>
      </c>
      <c r="C222">
        <v>0</v>
      </c>
      <c r="D222">
        <v>0</v>
      </c>
      <c r="E222">
        <v>0</v>
      </c>
    </row>
    <row r="223" spans="1:5" x14ac:dyDescent="0.25">
      <c r="A223" t="s">
        <v>92</v>
      </c>
      <c r="B223">
        <v>0</v>
      </c>
      <c r="C223">
        <v>0</v>
      </c>
      <c r="D223">
        <v>0</v>
      </c>
      <c r="E223">
        <v>0</v>
      </c>
    </row>
    <row r="224" spans="1:5" x14ac:dyDescent="0.25">
      <c r="A224" t="s">
        <v>52</v>
      </c>
      <c r="B224">
        <v>14</v>
      </c>
      <c r="C224">
        <v>0</v>
      </c>
      <c r="D224">
        <v>14</v>
      </c>
      <c r="E224">
        <v>0</v>
      </c>
    </row>
    <row r="225" spans="1:5" x14ac:dyDescent="0.25">
      <c r="A225" t="s">
        <v>51</v>
      </c>
      <c r="B225">
        <v>23</v>
      </c>
      <c r="C225">
        <v>21</v>
      </c>
      <c r="D225">
        <v>0</v>
      </c>
      <c r="E225">
        <v>2</v>
      </c>
    </row>
    <row r="226" spans="1:5" x14ac:dyDescent="0.25">
      <c r="A226" s="2" t="s">
        <v>39</v>
      </c>
      <c r="B226">
        <v>533</v>
      </c>
      <c r="C226">
        <v>0</v>
      </c>
      <c r="D226">
        <v>533</v>
      </c>
      <c r="E226">
        <v>0</v>
      </c>
    </row>
    <row r="227" spans="1:5" x14ac:dyDescent="0.25">
      <c r="A227" s="2" t="s">
        <v>41</v>
      </c>
      <c r="B227">
        <v>257</v>
      </c>
      <c r="C227">
        <v>0</v>
      </c>
      <c r="D227">
        <v>257</v>
      </c>
      <c r="E227">
        <v>0</v>
      </c>
    </row>
    <row r="228" spans="1:5" x14ac:dyDescent="0.25">
      <c r="A228" s="2" t="s">
        <v>36</v>
      </c>
      <c r="B228">
        <v>1456</v>
      </c>
      <c r="C228">
        <v>0</v>
      </c>
      <c r="D228">
        <v>1455</v>
      </c>
      <c r="E228">
        <v>1</v>
      </c>
    </row>
    <row r="229" spans="1:5" x14ac:dyDescent="0.25">
      <c r="A229" s="2" t="s">
        <v>64</v>
      </c>
      <c r="B229">
        <v>3</v>
      </c>
      <c r="C229">
        <v>0</v>
      </c>
      <c r="D229">
        <v>3</v>
      </c>
      <c r="E229">
        <v>0</v>
      </c>
    </row>
    <row r="230" spans="1:5" x14ac:dyDescent="0.25">
      <c r="A230" s="2" t="s">
        <v>54</v>
      </c>
      <c r="B230">
        <v>10</v>
      </c>
      <c r="C230">
        <v>0</v>
      </c>
      <c r="D230">
        <v>10</v>
      </c>
      <c r="E230">
        <v>0</v>
      </c>
    </row>
    <row r="231" spans="1:5" x14ac:dyDescent="0.25">
      <c r="A231" s="2" t="s">
        <v>68</v>
      </c>
      <c r="B231">
        <v>1</v>
      </c>
      <c r="C231">
        <v>0</v>
      </c>
      <c r="D231">
        <v>1</v>
      </c>
      <c r="E231">
        <v>0</v>
      </c>
    </row>
    <row r="232" spans="1:5" x14ac:dyDescent="0.25">
      <c r="A232" t="s">
        <v>67</v>
      </c>
      <c r="B232">
        <v>1</v>
      </c>
      <c r="C232">
        <v>1</v>
      </c>
      <c r="D232">
        <v>0</v>
      </c>
      <c r="E232">
        <v>0</v>
      </c>
    </row>
    <row r="233" spans="1:5" x14ac:dyDescent="0.25">
      <c r="A233" t="s">
        <v>47</v>
      </c>
      <c r="B233">
        <v>46</v>
      </c>
      <c r="C233">
        <v>34</v>
      </c>
      <c r="D233">
        <v>2</v>
      </c>
      <c r="E233">
        <v>10</v>
      </c>
    </row>
    <row r="234" spans="1:5" x14ac:dyDescent="0.25">
      <c r="A234" s="1" t="s">
        <v>17</v>
      </c>
      <c r="B234" s="1">
        <v>6110</v>
      </c>
      <c r="C234" s="1">
        <v>782</v>
      </c>
      <c r="D234" s="1">
        <v>5225</v>
      </c>
      <c r="E234" s="1">
        <v>103</v>
      </c>
    </row>
  </sheetData>
  <pageMargins left="0.75" right="0.75" top="0.75" bottom="0.5" header="0.5" footer="0.7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7EA9E-9E8C-489C-B6E3-7C854DD8BFE7}">
  <dimension ref="A1:F17"/>
  <sheetViews>
    <sheetView workbookViewId="0">
      <selection activeCell="A4" sqref="A4"/>
    </sheetView>
  </sheetViews>
  <sheetFormatPr defaultRowHeight="15" x14ac:dyDescent="0.25"/>
  <cols>
    <col min="1" max="1" width="43.140625" customWidth="1"/>
  </cols>
  <sheetData>
    <row r="1" spans="1:6" x14ac:dyDescent="0.25">
      <c r="A1" s="3" t="s">
        <v>93</v>
      </c>
      <c r="B1" s="3" t="s">
        <v>94</v>
      </c>
      <c r="C1" s="3" t="s">
        <v>95</v>
      </c>
      <c r="D1" s="3" t="s">
        <v>96</v>
      </c>
      <c r="E1" s="3" t="s">
        <v>97</v>
      </c>
      <c r="F1" s="3" t="s">
        <v>30</v>
      </c>
    </row>
    <row r="2" spans="1:6" x14ac:dyDescent="0.25">
      <c r="A2" s="8" t="s">
        <v>41</v>
      </c>
      <c r="B2">
        <v>22</v>
      </c>
      <c r="C2">
        <v>218</v>
      </c>
      <c r="F2" s="1">
        <v>240</v>
      </c>
    </row>
    <row r="3" spans="1:6" x14ac:dyDescent="0.25">
      <c r="A3" s="8" t="s">
        <v>36</v>
      </c>
      <c r="B3" s="5">
        <v>635</v>
      </c>
      <c r="C3" s="5">
        <v>213</v>
      </c>
      <c r="F3" s="4">
        <v>848</v>
      </c>
    </row>
    <row r="4" spans="1:6" x14ac:dyDescent="0.25">
      <c r="A4" s="8" t="s">
        <v>40</v>
      </c>
      <c r="B4" s="5">
        <v>294</v>
      </c>
      <c r="C4" s="5">
        <v>15</v>
      </c>
      <c r="D4" s="5">
        <v>0</v>
      </c>
      <c r="E4" s="5">
        <v>0</v>
      </c>
      <c r="F4" s="6">
        <v>309</v>
      </c>
    </row>
    <row r="5" spans="1:6" x14ac:dyDescent="0.25">
      <c r="A5" s="8" t="s">
        <v>45</v>
      </c>
      <c r="B5" s="5">
        <v>55</v>
      </c>
      <c r="C5" s="5">
        <v>2</v>
      </c>
      <c r="D5" s="5">
        <v>2</v>
      </c>
      <c r="E5" s="5">
        <v>0</v>
      </c>
      <c r="F5" s="6">
        <v>59</v>
      </c>
    </row>
    <row r="6" spans="1:6" x14ac:dyDescent="0.25">
      <c r="A6" s="8" t="s">
        <v>44</v>
      </c>
      <c r="B6" s="5">
        <v>133</v>
      </c>
      <c r="C6" s="5">
        <v>23</v>
      </c>
      <c r="D6" s="5">
        <v>0</v>
      </c>
      <c r="E6" s="5">
        <v>0</v>
      </c>
      <c r="F6" s="6">
        <v>156</v>
      </c>
    </row>
    <row r="7" spans="1:6" x14ac:dyDescent="0.25">
      <c r="A7" s="8" t="s">
        <v>54</v>
      </c>
      <c r="B7" s="5">
        <v>0</v>
      </c>
      <c r="C7" s="5">
        <v>10</v>
      </c>
      <c r="D7" s="5">
        <v>0</v>
      </c>
      <c r="E7" s="5">
        <v>0</v>
      </c>
      <c r="F7" s="6">
        <v>10</v>
      </c>
    </row>
    <row r="8" spans="1:6" x14ac:dyDescent="0.25">
      <c r="A8" s="8" t="s">
        <v>68</v>
      </c>
      <c r="B8" s="5">
        <v>1</v>
      </c>
      <c r="C8" s="5">
        <v>0</v>
      </c>
      <c r="D8" s="5">
        <v>0</v>
      </c>
      <c r="E8" s="5">
        <v>0</v>
      </c>
      <c r="F8" s="6">
        <v>1</v>
      </c>
    </row>
    <row r="9" spans="1:6" x14ac:dyDescent="0.25">
      <c r="A9" s="8" t="s">
        <v>64</v>
      </c>
      <c r="B9" s="5">
        <v>0</v>
      </c>
      <c r="C9" s="5">
        <v>0</v>
      </c>
      <c r="D9" s="5">
        <v>2</v>
      </c>
      <c r="E9" s="5">
        <v>0</v>
      </c>
      <c r="F9" s="6">
        <v>2</v>
      </c>
    </row>
    <row r="10" spans="1:6" x14ac:dyDescent="0.25">
      <c r="A10" s="8" t="s">
        <v>56</v>
      </c>
      <c r="B10" s="5">
        <v>8</v>
      </c>
      <c r="C10" s="5">
        <v>1</v>
      </c>
      <c r="D10" s="5">
        <v>0</v>
      </c>
      <c r="E10" s="5">
        <v>0</v>
      </c>
      <c r="F10" s="6">
        <v>9</v>
      </c>
    </row>
    <row r="11" spans="1:6" x14ac:dyDescent="0.25">
      <c r="B11" s="5"/>
      <c r="C11" s="5"/>
      <c r="D11" s="5"/>
      <c r="E11" s="5"/>
      <c r="F11" s="6"/>
    </row>
    <row r="14" spans="1:6" x14ac:dyDescent="0.25">
      <c r="B14" s="5"/>
      <c r="C14" s="5"/>
      <c r="D14" s="5"/>
      <c r="E14" s="5"/>
      <c r="F14" s="6"/>
    </row>
    <row r="15" spans="1:6" x14ac:dyDescent="0.25">
      <c r="B15" s="5"/>
      <c r="C15" s="5"/>
      <c r="D15" s="5"/>
      <c r="E15" s="5"/>
      <c r="F15" s="6"/>
    </row>
    <row r="16" spans="1:6" x14ac:dyDescent="0.25">
      <c r="B16" s="5"/>
      <c r="C16" s="5"/>
      <c r="D16" s="5"/>
      <c r="E16" s="5"/>
      <c r="F16" s="6"/>
    </row>
    <row r="17" spans="2:6" x14ac:dyDescent="0.25">
      <c r="B17" s="5"/>
      <c r="C17" s="5"/>
      <c r="D17" s="5"/>
      <c r="E17" s="5"/>
      <c r="F17" s="6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E38CF-D36D-4527-BDD5-ABA8FF060EF6}">
  <dimension ref="A1:C16"/>
  <sheetViews>
    <sheetView workbookViewId="0">
      <selection activeCell="G25" sqref="G25"/>
    </sheetView>
  </sheetViews>
  <sheetFormatPr defaultRowHeight="15" x14ac:dyDescent="0.25"/>
  <cols>
    <col min="1" max="1" width="43.85546875" customWidth="1"/>
    <col min="2" max="2" width="27.5703125" customWidth="1"/>
    <col min="3" max="3" width="18.42578125" customWidth="1"/>
  </cols>
  <sheetData>
    <row r="1" spans="1:3" x14ac:dyDescent="0.25">
      <c r="A1" s="17" t="s">
        <v>98</v>
      </c>
      <c r="B1" s="17"/>
      <c r="C1" s="17"/>
    </row>
    <row r="2" spans="1:3" x14ac:dyDescent="0.25">
      <c r="A2" s="17" t="s">
        <v>99</v>
      </c>
      <c r="B2" s="17"/>
      <c r="C2" s="17"/>
    </row>
    <row r="3" spans="1:3" x14ac:dyDescent="0.25">
      <c r="A3" s="7" t="s">
        <v>100</v>
      </c>
      <c r="B3" s="7" t="s">
        <v>101</v>
      </c>
      <c r="C3" s="7" t="s">
        <v>102</v>
      </c>
    </row>
    <row r="4" spans="1:3" x14ac:dyDescent="0.25">
      <c r="A4">
        <v>1</v>
      </c>
      <c r="B4" s="5" t="s">
        <v>103</v>
      </c>
      <c r="C4" s="10">
        <v>84</v>
      </c>
    </row>
    <row r="5" spans="1:3" x14ac:dyDescent="0.25">
      <c r="A5">
        <v>2</v>
      </c>
      <c r="B5" s="5" t="s">
        <v>104</v>
      </c>
      <c r="C5" s="10">
        <v>2</v>
      </c>
    </row>
    <row r="6" spans="1:3" x14ac:dyDescent="0.25">
      <c r="A6">
        <v>3</v>
      </c>
      <c r="B6" s="5" t="s">
        <v>105</v>
      </c>
      <c r="C6" s="10">
        <v>3</v>
      </c>
    </row>
    <row r="7" spans="1:3" x14ac:dyDescent="0.25">
      <c r="A7">
        <v>4</v>
      </c>
      <c r="B7" s="5" t="s">
        <v>106</v>
      </c>
      <c r="C7" s="10">
        <v>0</v>
      </c>
    </row>
    <row r="8" spans="1:3" x14ac:dyDescent="0.25">
      <c r="A8">
        <v>5</v>
      </c>
      <c r="B8" s="5" t="s">
        <v>30</v>
      </c>
      <c r="C8">
        <f>C4+C5+C6</f>
        <v>89</v>
      </c>
    </row>
    <row r="10" spans="1:3" x14ac:dyDescent="0.25">
      <c r="A10" s="17" t="s">
        <v>107</v>
      </c>
      <c r="B10" s="17"/>
      <c r="C10" s="17"/>
    </row>
    <row r="11" spans="1:3" x14ac:dyDescent="0.25">
      <c r="A11" s="7" t="s">
        <v>100</v>
      </c>
      <c r="B11" s="7" t="s">
        <v>108</v>
      </c>
      <c r="C11" s="7" t="s">
        <v>102</v>
      </c>
    </row>
    <row r="12" spans="1:3" x14ac:dyDescent="0.25">
      <c r="A12">
        <v>1</v>
      </c>
      <c r="B12" s="5" t="s">
        <v>103</v>
      </c>
      <c r="C12" s="11">
        <v>293</v>
      </c>
    </row>
    <row r="13" spans="1:3" x14ac:dyDescent="0.25">
      <c r="A13">
        <v>2</v>
      </c>
      <c r="B13" s="5" t="s">
        <v>104</v>
      </c>
      <c r="C13" s="11">
        <v>14</v>
      </c>
    </row>
    <row r="14" spans="1:3" x14ac:dyDescent="0.25">
      <c r="A14">
        <v>3</v>
      </c>
      <c r="B14" s="5" t="s">
        <v>105</v>
      </c>
      <c r="C14" s="11">
        <v>92</v>
      </c>
    </row>
    <row r="15" spans="1:3" x14ac:dyDescent="0.25">
      <c r="A15">
        <v>4</v>
      </c>
      <c r="B15" s="5" t="s">
        <v>106</v>
      </c>
      <c r="C15" s="11">
        <v>0</v>
      </c>
    </row>
    <row r="16" spans="1:3" x14ac:dyDescent="0.25">
      <c r="A16">
        <v>5</v>
      </c>
      <c r="B16" s="5" t="s">
        <v>30</v>
      </c>
      <c r="C16">
        <f>C12+C13+C14+C15</f>
        <v>399</v>
      </c>
    </row>
  </sheetData>
  <mergeCells count="3">
    <mergeCell ref="A1:C1"/>
    <mergeCell ref="A2:C2"/>
    <mergeCell ref="A10:C1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6ED25-439A-4FCB-BA71-BF442310D283}">
  <dimension ref="A1:B17"/>
  <sheetViews>
    <sheetView tabSelected="1" workbookViewId="0">
      <selection activeCell="J21" sqref="J21"/>
    </sheetView>
  </sheetViews>
  <sheetFormatPr defaultRowHeight="15" x14ac:dyDescent="0.25"/>
  <cols>
    <col min="1" max="1" width="46" customWidth="1"/>
    <col min="2" max="2" width="17.28515625" customWidth="1"/>
  </cols>
  <sheetData>
    <row r="1" spans="1:2" x14ac:dyDescent="0.25">
      <c r="A1" s="17" t="s">
        <v>109</v>
      </c>
      <c r="B1" s="17"/>
    </row>
    <row r="2" spans="1:2" x14ac:dyDescent="0.25">
      <c r="A2" s="17" t="s">
        <v>110</v>
      </c>
      <c r="B2" s="17"/>
    </row>
    <row r="3" spans="1:2" x14ac:dyDescent="0.25">
      <c r="A3" s="7" t="s">
        <v>111</v>
      </c>
      <c r="B3" s="7" t="s">
        <v>28</v>
      </c>
    </row>
    <row r="4" spans="1:2" x14ac:dyDescent="0.25">
      <c r="A4" s="5" t="s">
        <v>112</v>
      </c>
      <c r="B4" s="13">
        <v>2622</v>
      </c>
    </row>
    <row r="5" spans="1:2" x14ac:dyDescent="0.25">
      <c r="A5" s="5" t="s">
        <v>113</v>
      </c>
      <c r="B5" s="13">
        <v>712</v>
      </c>
    </row>
    <row r="6" spans="1:2" x14ac:dyDescent="0.25">
      <c r="A6" s="5" t="s">
        <v>114</v>
      </c>
      <c r="B6" s="13">
        <v>123</v>
      </c>
    </row>
    <row r="7" spans="1:2" x14ac:dyDescent="0.25">
      <c r="A7" s="5" t="s">
        <v>115</v>
      </c>
      <c r="B7" s="13">
        <v>0</v>
      </c>
    </row>
    <row r="8" spans="1:2" x14ac:dyDescent="0.25">
      <c r="A8" t="s">
        <v>30</v>
      </c>
      <c r="B8">
        <f>B4+B5+B6+B7</f>
        <v>3457</v>
      </c>
    </row>
    <row r="11" spans="1:2" x14ac:dyDescent="0.25">
      <c r="A11" s="17" t="s">
        <v>118</v>
      </c>
      <c r="B11" s="17"/>
    </row>
    <row r="12" spans="1:2" x14ac:dyDescent="0.25">
      <c r="A12" s="7" t="s">
        <v>111</v>
      </c>
      <c r="B12" s="7" t="s">
        <v>28</v>
      </c>
    </row>
    <row r="13" spans="1:2" x14ac:dyDescent="0.25">
      <c r="A13" s="5" t="s">
        <v>112</v>
      </c>
      <c r="B13" s="5">
        <v>1210</v>
      </c>
    </row>
    <row r="14" spans="1:2" x14ac:dyDescent="0.25">
      <c r="A14" s="5" t="s">
        <v>113</v>
      </c>
      <c r="B14" s="5">
        <v>2679</v>
      </c>
    </row>
    <row r="15" spans="1:2" x14ac:dyDescent="0.25">
      <c r="A15" s="5" t="s">
        <v>114</v>
      </c>
      <c r="B15" s="5">
        <v>22</v>
      </c>
    </row>
    <row r="16" spans="1:2" x14ac:dyDescent="0.25">
      <c r="A16" s="5" t="s">
        <v>115</v>
      </c>
      <c r="B16" s="5">
        <v>0</v>
      </c>
    </row>
    <row r="17" spans="1:1" x14ac:dyDescent="0.25">
      <c r="A17" t="s">
        <v>30</v>
      </c>
    </row>
  </sheetData>
  <mergeCells count="3">
    <mergeCell ref="A1:B1"/>
    <mergeCell ref="A2:B2"/>
    <mergeCell ref="A11:B1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F5AF3-E63E-4112-A052-A7FC1152201D}">
  <dimension ref="A1:B7"/>
  <sheetViews>
    <sheetView workbookViewId="0">
      <selection activeCell="B3" sqref="B3:B6"/>
    </sheetView>
  </sheetViews>
  <sheetFormatPr defaultRowHeight="15" x14ac:dyDescent="0.25"/>
  <cols>
    <col min="1" max="1" width="58" customWidth="1"/>
    <col min="2" max="2" width="18.28515625" customWidth="1"/>
  </cols>
  <sheetData>
    <row r="1" spans="1:2" x14ac:dyDescent="0.25">
      <c r="A1" s="18" t="s">
        <v>116</v>
      </c>
      <c r="B1" s="18"/>
    </row>
    <row r="2" spans="1:2" x14ac:dyDescent="0.25">
      <c r="A2" s="14" t="s">
        <v>117</v>
      </c>
      <c r="B2" s="4" t="s">
        <v>102</v>
      </c>
    </row>
    <row r="3" spans="1:2" x14ac:dyDescent="0.25">
      <c r="A3" s="5" t="s">
        <v>103</v>
      </c>
      <c r="B3" s="16">
        <v>132</v>
      </c>
    </row>
    <row r="4" spans="1:2" x14ac:dyDescent="0.25">
      <c r="A4" s="5" t="s">
        <v>104</v>
      </c>
      <c r="B4" s="16">
        <v>539</v>
      </c>
    </row>
    <row r="5" spans="1:2" x14ac:dyDescent="0.25">
      <c r="A5" s="5" t="s">
        <v>105</v>
      </c>
      <c r="B5" s="16">
        <v>4</v>
      </c>
    </row>
    <row r="6" spans="1:2" x14ac:dyDescent="0.25">
      <c r="A6" s="5" t="s">
        <v>106</v>
      </c>
      <c r="B6" s="16">
        <v>0</v>
      </c>
    </row>
    <row r="7" spans="1:2" x14ac:dyDescent="0.25">
      <c r="A7" s="5" t="s">
        <v>30</v>
      </c>
      <c r="B7">
        <f>B3+B4+B5+B6</f>
        <v>675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Отчёт</vt:lpstr>
      <vt:lpstr>Таблица 1</vt:lpstr>
      <vt:lpstr>Таблица 2</vt:lpstr>
      <vt:lpstr>Таблица 3</vt:lpstr>
      <vt:lpstr>Таблица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2026-04-13T03:20:56Z</dcterms:created>
  <dcterms:modified xsi:type="dcterms:W3CDTF">2026-04-14T05:54:10Z</dcterms:modified>
</cp:coreProperties>
</file>